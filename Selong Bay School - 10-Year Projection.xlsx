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Staffing" sheetId="3" state="visible" r:id="rId5"/>
    <sheet name="Enrollment &amp; Revenue" sheetId="4" state="visible" r:id="rId6"/>
    <sheet name="10-Year P&amp;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<sst xmlns="http://schemas.openxmlformats.org/spreadsheetml/2006/main" count="167" uniqueCount="139">
  <si>
    <t xml:space="preserve">Selong Bay School — 10-Year Summary</t>
  </si>
  <si>
    <t xml:space="preserve">Lombok, Indonesia | Ages 3–12 | Capacity grows to 150 students by Year 7 | Fees +5%/year</t>
  </si>
  <si>
    <t xml:space="preserve">Metric</t>
  </si>
  <si>
    <t xml:space="preserve">Enrollment — End of Year</t>
  </si>
  <si>
    <t xml:space="preserve">Average Enrollment (used for revenue)</t>
  </si>
  <si>
    <t xml:space="preserve">Total Revenue</t>
  </si>
  <si>
    <t xml:space="preserve">Total Operating Expenses</t>
  </si>
  <si>
    <t xml:space="preserve">EBIT</t>
  </si>
  <si>
    <t xml:space="preserve">Net Income</t>
  </si>
  <si>
    <t xml:space="preserve">Net Margin (%)</t>
  </si>
  <si>
    <t xml:space="preserve">Cumulative Net Income (Yr1–Yr10)</t>
  </si>
  <si>
    <t xml:space="preserve">Total Startup Capex (Year 0)</t>
  </si>
  <si>
    <t xml:space="preserve">Selong Bay School — Key Assumptions (10-Year Projection)</t>
  </si>
  <si>
    <t xml:space="preserve">School in Lombok, Indonesia | Ages 3–12 | All figures in Indonesian Rupiah (IDR)</t>
  </si>
  <si>
    <t xml:space="preserve">General</t>
  </si>
  <si>
    <t xml:space="preserve">School Name</t>
  </si>
  <si>
    <t xml:space="preserve">Selong Bay School</t>
  </si>
  <si>
    <t xml:space="preserve">Location</t>
  </si>
  <si>
    <t xml:space="preserve">Lombok, Indonesia</t>
  </si>
  <si>
    <t xml:space="preserve">Currency</t>
  </si>
  <si>
    <t xml:space="preserve">IDR</t>
  </si>
  <si>
    <t xml:space="preserve">Projection Start Year</t>
  </si>
  <si>
    <t xml:space="preserve">Corporate Income Tax Rate</t>
  </si>
  <si>
    <t xml:space="preserve">Indonesia standard corporate income tax rate.</t>
  </si>
  <si>
    <t xml:space="preserve">Annual Cost Inflation Rate (staffing &amp; opex)</t>
  </si>
  <si>
    <t xml:space="preserve">Illustrative assumption for planning purposes only — Selong Bay School management should confirm against local market data before relying on this model.</t>
  </si>
  <si>
    <t xml:space="preserve">Annual Tuition Fee Increase Rate</t>
  </si>
  <si>
    <t xml:space="preserve">Provided by user: tuition and other student fees increase 5% per year.</t>
  </si>
  <si>
    <t xml:space="preserve">Post-Ramp Enrollment Growth Rate (Years 2–7)</t>
  </si>
  <si>
    <t xml:space="preserve">Calibrated so enrollment grows from 30 students (end of Year 1) to the 150-student capacity by the end of Year 7, then holds at capacity through Year 10.</t>
  </si>
  <si>
    <t xml:space="preserve">Staffing</t>
  </si>
  <si>
    <t xml:space="preserve">Principal — Headcount</t>
  </si>
  <si>
    <t xml:space="preserve">Principal — Monthly Salary (IDR)</t>
  </si>
  <si>
    <t xml:space="preserve">Provided by user.</t>
  </si>
  <si>
    <t xml:space="preserve">Expat Homeroom Supervisor — Headcount</t>
  </si>
  <si>
    <t xml:space="preserve">Expat Homeroom Supervisor — Monthly Salary (IDR)</t>
  </si>
  <si>
    <t xml:space="preserve">Teachers — Headcount</t>
  </si>
  <si>
    <t xml:space="preserve">Teachers — Monthly Salary per Teacher (IDR)</t>
  </si>
  <si>
    <t xml:space="preserve">Support Staff (admin, cleaning, security) — Headcount</t>
  </si>
  <si>
    <t xml:space="preserve">Support Staff — Monthly Salary per Head (IDR)</t>
  </si>
  <si>
    <t xml:space="preserve">Employee Benefits / BPJS (% of salary, local staff)</t>
  </si>
  <si>
    <t xml:space="preserve">Statutory social security &amp; health insurance, employer portion — illustrative.</t>
  </si>
  <si>
    <t xml:space="preserve">Expat Work Permit (IMTA/KITAS) &amp; Relocation Costs (IDR/year)</t>
  </si>
  <si>
    <t xml:space="preserve">Illustrative annual cost of expat visa/work permit sponsorship, renewal, and related admin for the homeroom supervisor.</t>
  </si>
  <si>
    <t xml:space="preserve">Enrollment &amp; Tuition (Year 1 base)</t>
  </si>
  <si>
    <t xml:space="preserve">Starting Enrollment — Month 0 (students, ages 3–12)</t>
  </si>
  <si>
    <t xml:space="preserve">Year 1 Ending Enrollment — Month 12</t>
  </si>
  <si>
    <t xml:space="preserve">Provided by user: ramps from 12 to 21 within the first 6 months, then to 30 over the next 6 months. This model uses the straight-line average (21 students) for Year 1 revenue.</t>
  </si>
  <si>
    <t xml:space="preserve">School Capacity (max students)</t>
  </si>
  <si>
    <t xml:space="preserve">Provided by user: capacity reaches 150 students by Year 7.</t>
  </si>
  <si>
    <t xml:space="preserve">Average Annual Tuition Fee per Student (IDR, blended reference only)</t>
  </si>
  <si>
    <t xml:space="preserve">Superseded by the per-level fee schedule below; retained for reference.</t>
  </si>
  <si>
    <t xml:space="preserve">Annual Registration/Enrollment Fee per Student (IDR)</t>
  </si>
  <si>
    <t xml:space="preserve">Annual Uniforms, Books &amp; Materials Fee per Student (IDR)</t>
  </si>
  <si>
    <t xml:space="preserve">Tuition Fee Schedule (Per Term, Year 1 base)</t>
  </si>
  <si>
    <t xml:space="preserve">Preschool (ages 2–5) — Per Term Fee (IDR)</t>
  </si>
  <si>
    <t xml:space="preserve">Provided by user pricing guide.</t>
  </si>
  <si>
    <t xml:space="preserve">Primary (ages 6–12) — Per Term Fee (IDR)</t>
  </si>
  <si>
    <t xml:space="preserve">Secondary (ages 13–18) — Per Term Fee (IDR)</t>
  </si>
  <si>
    <t xml:space="preserve">Terms per Year</t>
  </si>
  <si>
    <t xml:space="preserve">Enrollment Mix — Preschool (%)</t>
  </si>
  <si>
    <t xml:space="preserve">Enrollment Mix — Primary (%)</t>
  </si>
  <si>
    <t xml:space="preserve">Most students are in the Primary group, per user instruction.</t>
  </si>
  <si>
    <t xml:space="preserve">Enrollment Mix — Secondary (%)</t>
  </si>
  <si>
    <t xml:space="preserve">Check: Level Mix Sums to 100%</t>
  </si>
  <si>
    <t xml:space="preserve">Operating Costs (Monthly, Year 1 base)</t>
  </si>
  <si>
    <t xml:space="preserve">Facility Lease (IDR/month, payable to Lee)</t>
  </si>
  <si>
    <t xml:space="preserve">Utilities — electricity, water, internet (IDR/month)</t>
  </si>
  <si>
    <t xml:space="preserve">Teaching Materials &amp; Curriculum Licensing (IDR/month)</t>
  </si>
  <si>
    <t xml:space="preserve">Marketing &amp; Admissions (IDR/month)</t>
  </si>
  <si>
    <t xml:space="preserve">Licensing, Permits &amp; Insurance (IDR/month)</t>
  </si>
  <si>
    <t xml:space="preserve">Maintenance &amp; Miscellaneous (IDR/month)</t>
  </si>
  <si>
    <t xml:space="preserve">Startup Capital Expenditure (Year 0, one-time)</t>
  </si>
  <si>
    <t xml:space="preserve">Classroom Fit-out &amp; Furniture</t>
  </si>
  <si>
    <t xml:space="preserve">Playground &amp; Outdoor Facilities</t>
  </si>
  <si>
    <t xml:space="preserve">Teaching Equipment, Books &amp; IT</t>
  </si>
  <si>
    <t xml:space="preserve">Licensing, Accreditation &amp; Pre-opening Costs</t>
  </si>
  <si>
    <t xml:space="preserve">Total Startup Capex</t>
  </si>
  <si>
    <t xml:space="preserve">Depreciation Period (years)</t>
  </si>
  <si>
    <t xml:space="preserve">Annual Depreciation While Within Depreciation Period (straight-line)</t>
  </si>
  <si>
    <t xml:space="preserve">Note: capex is fully depreciated after Year 5; the P&amp;L depreciation charge is Rp0 in Years 6–10.</t>
  </si>
  <si>
    <t xml:space="preserve">Selong Bay School — Staffing Cost Plan (10-Year)</t>
  </si>
  <si>
    <t xml:space="preserve">Role</t>
  </si>
  <si>
    <t xml:space="preserve">Headcount</t>
  </si>
  <si>
    <t xml:space="preserve">Monthly Salary
(per head, IDR)</t>
  </si>
  <si>
    <t xml:space="preserve">Benefits %</t>
  </si>
  <si>
    <t xml:space="preserve">Monthly Cost
(per head, incl. benefits)</t>
  </si>
  <si>
    <t xml:space="preserve">Monthly Total Cost (IDR)</t>
  </si>
  <si>
    <t xml:space="preserve">Year 1 Annual Cost</t>
  </si>
  <si>
    <t xml:space="preserve">Year 2 Annual Cost</t>
  </si>
  <si>
    <t xml:space="preserve">Year 3 Annual Cost</t>
  </si>
  <si>
    <t xml:space="preserve">Year 4 Annual Cost</t>
  </si>
  <si>
    <t xml:space="preserve">Year 5 Annual Cost</t>
  </si>
  <si>
    <t xml:space="preserve">Year 6 Annual Cost</t>
  </si>
  <si>
    <t xml:space="preserve">Year 7 Annual Cost</t>
  </si>
  <si>
    <t xml:space="preserve">Year 8 Annual Cost</t>
  </si>
  <si>
    <t xml:space="preserve">Year 9 Annual Cost</t>
  </si>
  <si>
    <t xml:space="preserve">Year 10 Annual Cost</t>
  </si>
  <si>
    <t xml:space="preserve">Principal</t>
  </si>
  <si>
    <t xml:space="preserve">Expat Homeroom Supervisor</t>
  </si>
  <si>
    <t xml:space="preserve">Teachers</t>
  </si>
  <si>
    <t xml:space="preserve">Support Staff (admin/cleaning/security)</t>
  </si>
  <si>
    <t xml:space="preserve">Expat Work Permit (IMTA/KITAS) &amp; Related Costs</t>
  </si>
  <si>
    <t xml:space="preserve">Total Staffing Cost</t>
  </si>
  <si>
    <t xml:space="preserve">Selong Bay School — Enrollment &amp; Revenue Build (10-Year)</t>
  </si>
  <si>
    <t xml:space="preserve">Enrollment — Start of Year</t>
  </si>
  <si>
    <t xml:space="preserve">Enrollment — End of Year (capped at capacity)</t>
  </si>
  <si>
    <t xml:space="preserve">School Capacity</t>
  </si>
  <si>
    <t xml:space="preserve">Capacity Utilization at Year-End (%)</t>
  </si>
  <si>
    <t xml:space="preserve">Preschool Students (avg, 20% of mix)</t>
  </si>
  <si>
    <t xml:space="preserve">Primary Students (avg, 65% of mix)</t>
  </si>
  <si>
    <t xml:space="preserve">Secondary Students (avg, 15% of mix)</t>
  </si>
  <si>
    <t xml:space="preserve">Preschool — Annual Fee per Student (IDR)</t>
  </si>
  <si>
    <t xml:space="preserve">Primary — Annual Fee per Student (IDR)</t>
  </si>
  <si>
    <t xml:space="preserve">Secondary — Annual Fee per Student (IDR)</t>
  </si>
  <si>
    <t xml:space="preserve">Tuition Revenue (IDR)</t>
  </si>
  <si>
    <t xml:space="preserve">Registration Fee per Student (IDR)</t>
  </si>
  <si>
    <t xml:space="preserve">Registration Fee Revenue (IDR)</t>
  </si>
  <si>
    <t xml:space="preserve">Uniforms/Books/Materials Fee per Student (IDR)</t>
  </si>
  <si>
    <t xml:space="preserve">Uniforms/Books/Materials Revenue (IDR)</t>
  </si>
  <si>
    <t xml:space="preserve">Total Revenue (IDR)</t>
  </si>
  <si>
    <t xml:space="preserve">Selong Bay School — 10-Year Income Statement</t>
  </si>
  <si>
    <t xml:space="preserve">All figures in Indonesian Rupiah (IDR)</t>
  </si>
  <si>
    <t xml:space="preserve">Line Item</t>
  </si>
  <si>
    <t xml:space="preserve">Revenue</t>
  </si>
  <si>
    <t xml:space="preserve">Tuition Revenue</t>
  </si>
  <si>
    <t xml:space="preserve">Registration Fee Revenue</t>
  </si>
  <si>
    <t xml:space="preserve">Uniforms/Books/Materials Revenue</t>
  </si>
  <si>
    <t xml:space="preserve">Operating Expenses</t>
  </si>
  <si>
    <t xml:space="preserve">Staffing Costs (incl. benefits &amp; expat permit)</t>
  </si>
  <si>
    <t xml:space="preserve">Facility Lease (payable to Lee)</t>
  </si>
  <si>
    <t xml:space="preserve">Utilities</t>
  </si>
  <si>
    <t xml:space="preserve">Teaching Materials &amp; Curriculum Licensing</t>
  </si>
  <si>
    <t xml:space="preserve">Marketing &amp; Admissions</t>
  </si>
  <si>
    <t xml:space="preserve">Licensing, Permits &amp; Insurance</t>
  </si>
  <si>
    <t xml:space="preserve">Maintenance &amp; Miscellaneous</t>
  </si>
  <si>
    <t xml:space="preserve">Depreciation (Rp0 after Year 5 — fully depreciated)</t>
  </si>
  <si>
    <t xml:space="preserve">EBIT (Operating Profit)</t>
  </si>
  <si>
    <t xml:space="preserve">Corporate Income Tax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</si>
</sst>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;\(#,##0\);\-"/>
    <numFmt numFmtId="167" formatCode="0.0%;\(0.0%\);\-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030A0"/>
        <bgColor rgb="FF654E7F"/>
      </patternFill>
    </fill>
    <fill>
      <patternFill patternType="solid">
        <fgColor rgb="FF8064A2"/>
        <bgColor rgb="FF775D97"/>
      </patternFill>
    </fill>
    <fill>
      <patternFill patternType="solid">
        <fgColor rgb="FFE4DFEC"/>
        <bgColor rgb="FFD9D9D9"/>
      </patternFill>
    </fill>
    <fill>
      <patternFill patternType="solid">
        <fgColor rgb="FF9966CC"/>
        <bgColor rgb="FF8064A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9346"/>
      <rgbColor rgb="FF9966CC"/>
      <rgbColor rgb="FF008080"/>
      <rgbColor rgb="FFB7B7B7"/>
      <rgbColor rgb="FF808080"/>
      <rgbColor rgb="FF7997C4"/>
      <rgbColor rgb="FF973F3C"/>
      <rgbColor rgb="FFF9F9F9"/>
      <rgbColor rgb="FFE4DFEC"/>
      <rgbColor rgb="FF660066"/>
      <rgbColor rgb="FFF5A574"/>
      <rgbColor rgb="FF3E659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77B6CC"/>
      <rgbColor rgb="FFCCFFFF"/>
      <rgbColor rgb="FFCCFFCC"/>
      <rgbColor rgb="FFFFFF99"/>
      <rgbColor rgb="FFB0BED7"/>
      <rgbColor rgb="FFD9B0B0"/>
      <rgbColor rgb="FF9684AF"/>
      <rgbColor rgb="FFA9C37E"/>
      <rgbColor rgb="FF4978B1"/>
      <rgbColor rgb="FF419FB7"/>
      <rgbColor rgb="FF91AF53"/>
      <rgbColor rgb="FFC77978"/>
      <rgbColor rgb="FFE5883B"/>
      <rgbColor rgb="FFC27637"/>
      <rgbColor rgb="FF775D97"/>
      <rgbColor rgb="FF878787"/>
      <rgbColor rgb="FF003366"/>
      <rgbColor rgb="FF3B879C"/>
      <rgbColor rgb="FF003300"/>
      <rgbColor rgb="FF333300"/>
      <rgbColor rgb="FF8064A2"/>
      <rgbColor rgb="FFB34A48"/>
      <rgbColor rgb="FF7030A0"/>
      <rgbColor rgb="FF654E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vs. Net Income by Year (10-Year Projection)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Revenue"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3e65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Summary!$B$7</c:f>
              <c:numCache>
                <c:formatCode>#,##0;\(#,##0\);\-</c:formatCode>
                <c:ptCount val="1"/>
                <c:pt idx="0">
                  <c:v>1479712500</c:v>
                </c:pt>
              </c:numCache>
            </c:numRef>
          </c:val>
        </c:ser>
        <c:ser>
          <c:idx val="1"/>
          <c:order val="1"/>
          <c:spPr>
            <a:solidFill>
              <a:srgbClr val="973f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Summary!$C$7</c:f>
              <c:numCache>
                <c:formatCode>#,##0;\(#,##0\);\-</c:formatCode>
                <c:ptCount val="1"/>
                <c:pt idx="0">
                  <c:v>2561382337.5</c:v>
                </c:pt>
              </c:numCache>
            </c:numRef>
          </c:val>
        </c:ser>
        <c:ser>
          <c:idx val="2"/>
          <c:order val="2"/>
          <c:spPr>
            <a:solidFill>
              <a:srgbClr val="7a9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Summary!$D$7</c:f>
              <c:numCache>
                <c:formatCode>#,##0;\(#,##0\);\-</c:formatCode>
                <c:ptCount val="1"/>
                <c:pt idx="0">
                  <c:v>3517802502.3225</c:v>
                </c:pt>
              </c:numCache>
            </c:numRef>
          </c:val>
        </c:ser>
        <c:ser>
          <c:idx val="3"/>
          <c:order val="3"/>
          <c:spPr>
            <a:solidFill>
              <a:srgbClr val="654e7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Summary!$E$7</c:f>
              <c:numCache>
                <c:formatCode>#,##0;\(#,##0\);\-</c:formatCode>
                <c:ptCount val="1"/>
                <c:pt idx="0">
                  <c:v>4831349956.68972</c:v>
                </c:pt>
              </c:numCache>
            </c:numRef>
          </c:val>
        </c:ser>
        <c:ser>
          <c:idx val="4"/>
          <c:order val="4"/>
          <c:spPr>
            <a:solidFill>
              <a:srgbClr val="3b87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Summary!$F$7</c:f>
              <c:numCache>
                <c:formatCode>#,##0;\(#,##0\);\-</c:formatCode>
                <c:ptCount val="1"/>
                <c:pt idx="0">
                  <c:v>6635376030.51766</c:v>
                </c:pt>
              </c:numCache>
            </c:numRef>
          </c:val>
        </c:ser>
        <c:ser>
          <c:idx val="5"/>
          <c:order val="5"/>
          <c:spPr>
            <a:solidFill>
              <a:srgbClr val="c276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Summary!$G$7</c:f>
              <c:numCache>
                <c:formatCode>#,##0;\(#,##0\);\-</c:formatCode>
                <c:ptCount val="1"/>
                <c:pt idx="0">
                  <c:v>9113025440.31296</c:v>
                </c:pt>
              </c:numCache>
            </c:numRef>
          </c:val>
        </c:ser>
        <c:ser>
          <c:idx val="6"/>
          <c:order val="6"/>
          <c:spPr>
            <a:solidFill>
              <a:srgbClr val="497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Summary!$H$7</c:f>
              <c:numCache>
                <c:formatCode>#,##0;\(#,##0\);\-</c:formatCode>
                <c:ptCount val="1"/>
                <c:pt idx="0">
                  <c:v>12504789600.9739</c:v>
                </c:pt>
              </c:numCache>
            </c:numRef>
          </c:val>
        </c:ser>
        <c:ser>
          <c:idx val="7"/>
          <c:order val="7"/>
          <c:spPr>
            <a:solidFill>
              <a:srgbClr val="b34a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Summary!$I$7</c:f>
              <c:numCache>
                <c:formatCode>#,##0;\(#,##0\);\-</c:formatCode>
                <c:ptCount val="1"/>
                <c:pt idx="0">
                  <c:v>14872172029.7124</c:v>
                </c:pt>
              </c:numCache>
            </c:numRef>
          </c:val>
        </c:ser>
        <c:ser>
          <c:idx val="8"/>
          <c:order val="8"/>
          <c:spPr>
            <a:solidFill>
              <a:srgbClr val="91af5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Summary!$J$7</c:f>
              <c:numCache>
                <c:formatCode>#,##0;\(#,##0\);\-</c:formatCode>
                <c:ptCount val="1"/>
                <c:pt idx="0">
                  <c:v>15615780631.198</c:v>
                </c:pt>
              </c:numCache>
            </c:numRef>
          </c:val>
        </c:ser>
        <c:ser>
          <c:idx val="9"/>
          <c:order val="9"/>
          <c:spPr>
            <a:solidFill>
              <a:srgbClr val="775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Summary!$K$7</c:f>
              <c:numCache>
                <c:formatCode>#,##0;\(#,##0\);\-</c:formatCode>
                <c:ptCount val="1"/>
                <c:pt idx="0">
                  <c:v>16396569662.7579</c:v>
                </c:pt>
              </c:numCache>
            </c:numRef>
          </c:val>
        </c:ser>
        <c:gapWidth val="150"/>
        <c:overlap val="0"/>
        <c:axId val="93313245"/>
        <c:axId val="84581694"/>
      </c:barChart>
      <c:lineChart>
        <c:grouping val="standard"/>
        <c:varyColors val="0"/>
        <c:ser>
          <c:idx val="10"/>
          <c:order val="10"/>
          <c:tx>
            <c:strRef>
              <c:f>"Net Income"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419fb7"/>
            </a:solidFill>
            <a:ln w="2484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Summary!$B$10</c:f>
              <c:numCache>
                <c:formatCode>#,##0;\(#,##0\);\-</c:formatCode>
                <c:ptCount val="1"/>
                <c:pt idx="0">
                  <c:v>-849287500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5883b"/>
            </a:solidFill>
            <a:ln w="4752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Summary!$C$10</c:f>
              <c:numCache>
                <c:formatCode>#,##0;\(#,##0\);\-</c:formatCode>
                <c:ptCount val="1"/>
                <c:pt idx="0">
                  <c:v>78345023.2500004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7997c4"/>
            </a:solidFill>
            <a:ln w="4752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Summary!$D$10</c:f>
              <c:numCache>
                <c:formatCode>#,##0;\(#,##0\);\-</c:formatCode>
                <c:ptCount val="1"/>
                <c:pt idx="0">
                  <c:v>715264759.81155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c77978"/>
            </a:solidFill>
            <a:ln w="4752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Summary!$E$10</c:f>
              <c:numCache>
                <c:formatCode>#,##0;\(#,##0\);\-</c:formatCode>
                <c:ptCount val="1"/>
                <c:pt idx="0">
                  <c:v>1624198502.69798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a9c37e"/>
            </a:solidFill>
            <a:ln w="4752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Summary!$F$10</c:f>
              <c:numCache>
                <c:formatCode>#,##0;\(#,##0\);\-</c:formatCode>
                <c:ptCount val="1"/>
                <c:pt idx="0">
                  <c:v>2908767572.47258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9684af"/>
            </a:solidFill>
            <a:ln w="4752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Summary!$G$10</c:f>
              <c:numCache>
                <c:formatCode>#,##0;\(#,##0\);\-</c:formatCode>
                <c:ptCount val="1"/>
                <c:pt idx="0">
                  <c:v>4812808568.23304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77b6cc"/>
            </a:solidFill>
            <a:ln w="4752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Summary!$H$10</c:f>
              <c:numCache>
                <c:formatCode>#,##0;\(#,##0\);\-</c:formatCode>
                <c:ptCount val="1"/>
                <c:pt idx="0">
                  <c:v>7320663537.03593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5a574"/>
            </a:solidFill>
            <a:ln w="4752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Summary!$I$10</c:f>
              <c:numCache>
                <c:formatCode>#,##0;\(#,##0\);\-</c:formatCode>
                <c:ptCount val="1"/>
                <c:pt idx="0">
                  <c:v>9021237490.34851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b0bed7"/>
            </a:solidFill>
            <a:ln w="4752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Summary!$J$10</c:f>
              <c:numCache>
                <c:formatCode>#,##0;\(#,##0\);\-</c:formatCode>
                <c:ptCount val="1"/>
                <c:pt idx="0">
                  <c:v>9446508797.93767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d9b0b0"/>
            </a:solidFill>
            <a:ln w="4752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Summary!$B$4:$K$4</c:f>
              <c:multiLvlStrCache>
                <c:ptCount val="1"/>
                <c:lvl>
                  <c:pt idx="0">
                    <c:v>Year 10 (2035)</c:v>
                  </c:pt>
                </c:lvl>
                <c:lvl>
                  <c:pt idx="0">
                    <c:v>Year 9 (2034)</c:v>
                  </c:pt>
                </c:lvl>
                <c:lvl>
                  <c:pt idx="0">
                    <c:v>Year 8 (2033)</c:v>
                  </c:pt>
                </c:lvl>
                <c:lvl>
                  <c:pt idx="0">
                    <c:v>Year 7 (2032)</c:v>
                  </c:pt>
                </c:lvl>
                <c:lvl>
                  <c:pt idx="0">
                    <c:v>Year 6 (2031)</c:v>
                  </c:pt>
                </c:lvl>
                <c:lvl>
                  <c:pt idx="0">
                    <c:v>Year 5 (2030)</c:v>
                  </c:pt>
                </c:lvl>
                <c:lvl>
                  <c:pt idx="0">
                    <c:v>Year 4 (2029)</c:v>
                  </c:pt>
                </c:lvl>
                <c:lvl>
                  <c:pt idx="0">
                    <c:v>Year 3 (2028)</c:v>
                  </c:pt>
                </c:lvl>
                <c:lvl>
                  <c:pt idx="0">
                    <c:v>Year 2 (2027)</c:v>
                  </c:pt>
                </c:lvl>
                <c:lvl>
                  <c:pt idx="0">
                    <c:v>Year 1 (2026)</c:v>
                  </c:pt>
                </c:lvl>
              </c:multiLvlStrCache>
            </c:multiLvlStrRef>
          </c:cat>
          <c:val>
            <c:numRef>
              <c:f>Summary!$K$10</c:f>
              <c:numCache>
                <c:formatCode>#,##0;\(#,##0\);\-</c:formatCode>
                <c:ptCount val="1"/>
                <c:pt idx="0">
                  <c:v>9891496236.89058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313245"/>
        <c:axId val="84581694"/>
      </c:lineChart>
      <c:catAx>
        <c:axId val="933132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81694"/>
        <c:crosses val="autoZero"/>
        <c:auto val="1"/>
        <c:lblAlgn val="ctr"/>
        <c:lblOffset val="100"/>
        <c:noMultiLvlLbl val="0"/>
      </c:catAx>
      <c:valAx>
        <c:axId val="84581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IDR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13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6</xdr:col>
      <xdr:colOff>604440</xdr:colOff>
      <xdr:row>34</xdr:row>
      <xdr:rowOff>170640</xdr:rowOff>
    </xdr:to>
    <xdr:graphicFrame>
      <xdr:nvGraphicFramePr>
        <xdr:cNvPr id="0" name="Chart 1"/>
        <xdr:cNvGraphicFramePr/>
      </xdr:nvGraphicFramePr>
      <xdr:xfrm>
        <a:off x="0" y="318132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tr">
        <f aca="false">"Year "&amp;1&amp;" ("&amp;(Assumptions!$B$8+0)&amp;")"</f>
        <v>Year 1 (2026)</v>
      </c>
      <c r="C4" s="3" t="str">
        <f aca="false">"Year "&amp;2&amp;" ("&amp;(Assumptions!$B$8+1)&amp;")"</f>
        <v>Year 2 (2027)</v>
      </c>
      <c r="D4" s="3" t="str">
        <f aca="false">"Year "&amp;3&amp;" ("&amp;(Assumptions!$B$8+2)&amp;")"</f>
        <v>Year 3 (2028)</v>
      </c>
      <c r="E4" s="3" t="str">
        <f aca="false">"Year "&amp;4&amp;" ("&amp;(Assumptions!$B$8+3)&amp;")"</f>
        <v>Year 4 (2029)</v>
      </c>
      <c r="F4" s="3" t="str">
        <f aca="false">"Year "&amp;5&amp;" ("&amp;(Assumptions!$B$8+4)&amp;")"</f>
        <v>Year 5 (2030)</v>
      </c>
      <c r="G4" s="3" t="str">
        <f aca="false">"Year "&amp;6&amp;" ("&amp;(Assumptions!$B$8+5)&amp;")"</f>
        <v>Year 6 (2031)</v>
      </c>
      <c r="H4" s="3" t="str">
        <f aca="false">"Year "&amp;7&amp;" ("&amp;(Assumptions!$B$8+6)&amp;")"</f>
        <v>Year 7 (2032)</v>
      </c>
      <c r="I4" s="3" t="str">
        <f aca="false">"Year "&amp;8&amp;" ("&amp;(Assumptions!$B$8+7)&amp;")"</f>
        <v>Year 8 (2033)</v>
      </c>
      <c r="J4" s="3" t="str">
        <f aca="false">"Year "&amp;9&amp;" ("&amp;(Assumptions!$B$8+8)&amp;")"</f>
        <v>Year 9 (2034)</v>
      </c>
      <c r="K4" s="3" t="str">
        <f aca="false">"Year "&amp;10&amp;" ("&amp;(Assumptions!$B$8+9)&amp;")"</f>
        <v>Year 10 (2035)</v>
      </c>
    </row>
    <row r="5" customFormat="false" ht="15" hidden="false" customHeight="false" outlineLevel="0" collapsed="false">
      <c r="A5" s="4" t="s">
        <v>3</v>
      </c>
      <c r="B5" s="5" t="n">
        <f aca="false">'Enrollment &amp; Revenue'!B5</f>
        <v>30</v>
      </c>
      <c r="C5" s="5" t="n">
        <f aca="false">'Enrollment &amp; Revenue'!C5</f>
        <v>39.24</v>
      </c>
      <c r="D5" s="5" t="n">
        <f aca="false">'Enrollment &amp; Revenue'!D5</f>
        <v>51.32592</v>
      </c>
      <c r="E5" s="5" t="n">
        <f aca="false">'Enrollment &amp; Revenue'!E5</f>
        <v>67.13430336</v>
      </c>
      <c r="F5" s="5" t="n">
        <f aca="false">'Enrollment &amp; Revenue'!F5</f>
        <v>87.81166879488</v>
      </c>
      <c r="G5" s="5" t="n">
        <f aca="false">'Enrollment &amp; Revenue'!G5</f>
        <v>114.857662783703</v>
      </c>
      <c r="H5" s="5" t="n">
        <f aca="false">'Enrollment &amp; Revenue'!H5</f>
        <v>150</v>
      </c>
      <c r="I5" s="5" t="n">
        <f aca="false">'Enrollment &amp; Revenue'!I5</f>
        <v>150</v>
      </c>
      <c r="J5" s="5" t="n">
        <f aca="false">'Enrollment &amp; Revenue'!J5</f>
        <v>150</v>
      </c>
      <c r="K5" s="5" t="n">
        <f aca="false">'Enrollment &amp; Revenue'!K5</f>
        <v>150</v>
      </c>
    </row>
    <row r="6" customFormat="false" ht="15" hidden="false" customHeight="false" outlineLevel="0" collapsed="false">
      <c r="A6" s="4" t="s">
        <v>4</v>
      </c>
      <c r="B6" s="5" t="n">
        <f aca="false">'Enrollment &amp; Revenue'!B6</f>
        <v>21</v>
      </c>
      <c r="C6" s="5" t="n">
        <f aca="false">'Enrollment &amp; Revenue'!C6</f>
        <v>34.62</v>
      </c>
      <c r="D6" s="5" t="n">
        <f aca="false">'Enrollment &amp; Revenue'!D6</f>
        <v>45.28296</v>
      </c>
      <c r="E6" s="5" t="n">
        <f aca="false">'Enrollment &amp; Revenue'!E6</f>
        <v>59.23011168</v>
      </c>
      <c r="F6" s="5" t="n">
        <f aca="false">'Enrollment &amp; Revenue'!F6</f>
        <v>77.47298607744</v>
      </c>
      <c r="G6" s="5" t="n">
        <f aca="false">'Enrollment &amp; Revenue'!G6</f>
        <v>101.334665789292</v>
      </c>
      <c r="H6" s="5" t="n">
        <f aca="false">'Enrollment &amp; Revenue'!H6</f>
        <v>132.428831391852</v>
      </c>
      <c r="I6" s="5" t="n">
        <f aca="false">'Enrollment &amp; Revenue'!I6</f>
        <v>150</v>
      </c>
      <c r="J6" s="5" t="n">
        <f aca="false">'Enrollment &amp; Revenue'!J6</f>
        <v>150</v>
      </c>
      <c r="K6" s="5" t="n">
        <f aca="false">'Enrollment &amp; Revenue'!K6</f>
        <v>150</v>
      </c>
    </row>
    <row r="7" customFormat="false" ht="15" hidden="false" customHeight="false" outlineLevel="0" collapsed="false">
      <c r="A7" s="6" t="s">
        <v>5</v>
      </c>
      <c r="B7" s="7" t="n">
        <f aca="false">'10-Year P&amp;L'!B8</f>
        <v>1479712500</v>
      </c>
      <c r="C7" s="7" t="n">
        <f aca="false">'10-Year P&amp;L'!C8</f>
        <v>2561382337.5</v>
      </c>
      <c r="D7" s="7" t="n">
        <f aca="false">'10-Year P&amp;L'!D8</f>
        <v>3517802502.3225</v>
      </c>
      <c r="E7" s="7" t="n">
        <f aca="false">'10-Year P&amp;L'!E8</f>
        <v>4831349956.68972</v>
      </c>
      <c r="F7" s="7" t="n">
        <f aca="false">'10-Year P&amp;L'!F8</f>
        <v>6635376030.51766</v>
      </c>
      <c r="G7" s="7" t="n">
        <f aca="false">'10-Year P&amp;L'!G8</f>
        <v>9113025440.31296</v>
      </c>
      <c r="H7" s="7" t="n">
        <f aca="false">'10-Year P&amp;L'!H8</f>
        <v>12504789600.9739</v>
      </c>
      <c r="I7" s="7" t="n">
        <f aca="false">'10-Year P&amp;L'!I8</f>
        <v>14872172029.7124</v>
      </c>
      <c r="J7" s="7" t="n">
        <f aca="false">'10-Year P&amp;L'!J8</f>
        <v>15615780631.198</v>
      </c>
      <c r="K7" s="7" t="n">
        <f aca="false">'10-Year P&amp;L'!K8</f>
        <v>16396569662.7579</v>
      </c>
    </row>
    <row r="8" customFormat="false" ht="15" hidden="false" customHeight="false" outlineLevel="0" collapsed="false">
      <c r="A8" s="6" t="s">
        <v>6</v>
      </c>
      <c r="B8" s="7" t="n">
        <f aca="false">'10-Year P&amp;L'!B19</f>
        <v>2329000000</v>
      </c>
      <c r="C8" s="7" t="n">
        <f aca="false">'10-Year P&amp;L'!C19</f>
        <v>2460940000</v>
      </c>
      <c r="D8" s="7" t="n">
        <f aca="false">'10-Year P&amp;L'!D19</f>
        <v>2600796400</v>
      </c>
      <c r="E8" s="7" t="n">
        <f aca="false">'10-Year P&amp;L'!E19</f>
        <v>2749044184</v>
      </c>
      <c r="F8" s="7" t="n">
        <f aca="false">'10-Year P&amp;L'!F19</f>
        <v>2906186835.04</v>
      </c>
      <c r="G8" s="7" t="n">
        <f aca="false">'10-Year P&amp;L'!G19</f>
        <v>2942758045.1424</v>
      </c>
      <c r="H8" s="7" t="n">
        <f aca="false">'10-Year P&amp;L'!H19</f>
        <v>3119323527.85095</v>
      </c>
      <c r="I8" s="7" t="n">
        <f aca="false">'10-Year P&amp;L'!I19</f>
        <v>3306482939.522</v>
      </c>
      <c r="J8" s="7" t="n">
        <f aca="false">'10-Year P&amp;L'!J19</f>
        <v>3504871915.89332</v>
      </c>
      <c r="K8" s="7" t="n">
        <f aca="false">'10-Year P&amp;L'!K19</f>
        <v>3715164230.84692</v>
      </c>
    </row>
    <row r="9" customFormat="false" ht="15" hidden="false" customHeight="false" outlineLevel="0" collapsed="false">
      <c r="A9" s="6" t="s">
        <v>7</v>
      </c>
      <c r="B9" s="7" t="n">
        <f aca="false">'10-Year P&amp;L'!B21</f>
        <v>-849287500</v>
      </c>
      <c r="C9" s="7" t="n">
        <f aca="false">'10-Year P&amp;L'!C21</f>
        <v>100442337.5</v>
      </c>
      <c r="D9" s="7" t="n">
        <f aca="false">'10-Year P&amp;L'!D21</f>
        <v>917006102.3225</v>
      </c>
      <c r="E9" s="7" t="n">
        <f aca="false">'10-Year P&amp;L'!E21</f>
        <v>2082305772.68972</v>
      </c>
      <c r="F9" s="7" t="n">
        <f aca="false">'10-Year P&amp;L'!F21</f>
        <v>3729189195.47766</v>
      </c>
      <c r="G9" s="7" t="n">
        <f aca="false">'10-Year P&amp;L'!G21</f>
        <v>6170267395.17056</v>
      </c>
      <c r="H9" s="7" t="n">
        <f aca="false">'10-Year P&amp;L'!H21</f>
        <v>9385466073.12299</v>
      </c>
      <c r="I9" s="7" t="n">
        <f aca="false">'10-Year P&amp;L'!I21</f>
        <v>11565689090.1904</v>
      </c>
      <c r="J9" s="7" t="n">
        <f aca="false">'10-Year P&amp;L'!J21</f>
        <v>12110908715.3047</v>
      </c>
      <c r="K9" s="7" t="n">
        <f aca="false">'10-Year P&amp;L'!K21</f>
        <v>12681405431.911</v>
      </c>
    </row>
    <row r="10" customFormat="false" ht="15" hidden="false" customHeight="false" outlineLevel="0" collapsed="false">
      <c r="A10" s="6" t="s">
        <v>8</v>
      </c>
      <c r="B10" s="7" t="n">
        <f aca="false">'10-Year P&amp;L'!B23</f>
        <v>-849287500</v>
      </c>
      <c r="C10" s="7" t="n">
        <f aca="false">'10-Year P&amp;L'!C23</f>
        <v>78345023.2500004</v>
      </c>
      <c r="D10" s="7" t="n">
        <f aca="false">'10-Year P&amp;L'!D23</f>
        <v>715264759.81155</v>
      </c>
      <c r="E10" s="7" t="n">
        <f aca="false">'10-Year P&amp;L'!E23</f>
        <v>1624198502.69798</v>
      </c>
      <c r="F10" s="7" t="n">
        <f aca="false">'10-Year P&amp;L'!F23</f>
        <v>2908767572.47258</v>
      </c>
      <c r="G10" s="7" t="n">
        <f aca="false">'10-Year P&amp;L'!G23</f>
        <v>4812808568.23304</v>
      </c>
      <c r="H10" s="7" t="n">
        <f aca="false">'10-Year P&amp;L'!H23</f>
        <v>7320663537.03593</v>
      </c>
      <c r="I10" s="7" t="n">
        <f aca="false">'10-Year P&amp;L'!I23</f>
        <v>9021237490.34851</v>
      </c>
      <c r="J10" s="7" t="n">
        <f aca="false">'10-Year P&amp;L'!J23</f>
        <v>9446508797.93767</v>
      </c>
      <c r="K10" s="7" t="n">
        <f aca="false">'10-Year P&amp;L'!K23</f>
        <v>9891496236.89058</v>
      </c>
    </row>
    <row r="11" customFormat="false" ht="15" hidden="false" customHeight="false" outlineLevel="0" collapsed="false">
      <c r="A11" s="4" t="s">
        <v>9</v>
      </c>
      <c r="B11" s="8" t="n">
        <f aca="false">'10-Year P&amp;L'!B24</f>
        <v>-0.573954399925661</v>
      </c>
      <c r="C11" s="8" t="n">
        <f aca="false">'10-Year P&amp;L'!C24</f>
        <v>0.0305870084692112</v>
      </c>
      <c r="D11" s="8" t="n">
        <f aca="false">'10-Year P&amp;L'!D24</f>
        <v>0.20332715078215</v>
      </c>
      <c r="E11" s="8" t="n">
        <f aca="false">'10-Year P&amp;L'!E24</f>
        <v>0.336179021858899</v>
      </c>
      <c r="F11" s="8" t="n">
        <f aca="false">'10-Year P&amp;L'!F24</f>
        <v>0.438372679874429</v>
      </c>
      <c r="G11" s="8" t="n">
        <f aca="false">'10-Year P&amp;L'!G24</f>
        <v>0.5281241229661</v>
      </c>
      <c r="H11" s="8" t="n">
        <f aca="false">'10-Year P&amp;L'!H24</f>
        <v>0.5854287653481</v>
      </c>
      <c r="I11" s="8" t="n">
        <f aca="false">'10-Year P&amp;L'!I24</f>
        <v>0.60658506856466</v>
      </c>
      <c r="J11" s="8" t="n">
        <f aca="false">'10-Year P&amp;L'!J24</f>
        <v>0.604933497789085</v>
      </c>
      <c r="K11" s="8" t="n">
        <f aca="false">'10-Year P&amp;L'!K24</f>
        <v>0.603266197768029</v>
      </c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false" outlineLevel="0" collapsed="false">
      <c r="A13" s="10" t="s">
        <v>10</v>
      </c>
      <c r="B13" s="11" t="n">
        <f aca="false">SUM(B10:K10)</f>
        <v>44970002988.6778</v>
      </c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A14" s="6" t="s">
        <v>11</v>
      </c>
      <c r="B14" s="7" t="n">
        <f aca="false">Assumptions!B57</f>
        <v>650000000</v>
      </c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64"/>
  </cols>
  <sheetData>
    <row r="1" customFormat="false" ht="25.5" hidden="false" customHeight="true" outlineLevel="0" collapsed="false">
      <c r="A1" s="1" t="s">
        <v>12</v>
      </c>
      <c r="B1" s="1"/>
      <c r="C1" s="1"/>
    </row>
    <row r="2" customFormat="false" ht="15" hidden="false" customHeight="false" outlineLevel="0" collapsed="false">
      <c r="A2" s="2" t="s">
        <v>13</v>
      </c>
      <c r="B2" s="2"/>
      <c r="C2" s="2"/>
    </row>
    <row r="4" customFormat="false" ht="15" hidden="false" customHeight="false" outlineLevel="0" collapsed="false">
      <c r="A4" s="12" t="s">
        <v>14</v>
      </c>
      <c r="B4" s="12"/>
      <c r="C4" s="12"/>
    </row>
    <row r="5" customFormat="false" ht="15" hidden="false" customHeight="false" outlineLevel="0" collapsed="false">
      <c r="A5" s="13" t="s">
        <v>15</v>
      </c>
      <c r="B5" s="14" t="s">
        <v>16</v>
      </c>
    </row>
    <row r="6" customFormat="false" ht="15" hidden="false" customHeight="false" outlineLevel="0" collapsed="false">
      <c r="A6" s="13" t="s">
        <v>17</v>
      </c>
      <c r="B6" s="14" t="s">
        <v>18</v>
      </c>
    </row>
    <row r="7" customFormat="false" ht="15" hidden="false" customHeight="false" outlineLevel="0" collapsed="false">
      <c r="A7" s="13" t="s">
        <v>19</v>
      </c>
      <c r="B7" s="14" t="s">
        <v>20</v>
      </c>
    </row>
    <row r="8" customFormat="false" ht="15" hidden="false" customHeight="false" outlineLevel="0" collapsed="false">
      <c r="A8" s="13" t="s">
        <v>21</v>
      </c>
      <c r="B8" s="14" t="n">
        <v>2026</v>
      </c>
    </row>
    <row r="9" customFormat="false" ht="15" hidden="false" customHeight="false" outlineLevel="0" collapsed="false">
      <c r="A9" s="13" t="s">
        <v>22</v>
      </c>
      <c r="B9" s="15" t="n">
        <v>0.22</v>
      </c>
      <c r="C9" s="16" t="s">
        <v>23</v>
      </c>
    </row>
    <row r="10" customFormat="false" ht="15" hidden="false" customHeight="false" outlineLevel="0" collapsed="false">
      <c r="A10" s="13" t="s">
        <v>24</v>
      </c>
      <c r="B10" s="15" t="n">
        <v>0.06</v>
      </c>
      <c r="C10" s="16" t="s">
        <v>25</v>
      </c>
    </row>
    <row r="11" customFormat="false" ht="15" hidden="false" customHeight="false" outlineLevel="0" collapsed="false">
      <c r="A11" s="13" t="s">
        <v>26</v>
      </c>
      <c r="B11" s="15" t="n">
        <v>0.05</v>
      </c>
      <c r="C11" s="16" t="s">
        <v>27</v>
      </c>
    </row>
    <row r="12" customFormat="false" ht="15" hidden="false" customHeight="false" outlineLevel="0" collapsed="false">
      <c r="A12" s="13" t="s">
        <v>28</v>
      </c>
      <c r="B12" s="15" t="n">
        <v>0.308</v>
      </c>
      <c r="C12" s="16" t="s">
        <v>29</v>
      </c>
    </row>
    <row r="14" customFormat="false" ht="15" hidden="false" customHeight="false" outlineLevel="0" collapsed="false">
      <c r="A14" s="12" t="s">
        <v>30</v>
      </c>
      <c r="B14" s="12"/>
      <c r="C14" s="12"/>
    </row>
    <row r="15" customFormat="false" ht="15" hidden="false" customHeight="false" outlineLevel="0" collapsed="false">
      <c r="A15" s="13" t="s">
        <v>31</v>
      </c>
      <c r="B15" s="17" t="n">
        <v>1</v>
      </c>
    </row>
    <row r="16" customFormat="false" ht="15" hidden="false" customHeight="false" outlineLevel="0" collapsed="false">
      <c r="A16" s="13" t="s">
        <v>32</v>
      </c>
      <c r="B16" s="17" t="n">
        <v>22000000</v>
      </c>
      <c r="C16" s="16" t="s">
        <v>33</v>
      </c>
    </row>
    <row r="17" customFormat="false" ht="15" hidden="false" customHeight="false" outlineLevel="0" collapsed="false">
      <c r="A17" s="13" t="s">
        <v>34</v>
      </c>
      <c r="B17" s="17" t="n">
        <v>1</v>
      </c>
    </row>
    <row r="18" customFormat="false" ht="15" hidden="false" customHeight="false" outlineLevel="0" collapsed="false">
      <c r="A18" s="13" t="s">
        <v>35</v>
      </c>
      <c r="B18" s="17" t="n">
        <v>40000000</v>
      </c>
      <c r="C18" s="16" t="s">
        <v>33</v>
      </c>
    </row>
    <row r="19" customFormat="false" ht="15" hidden="false" customHeight="false" outlineLevel="0" collapsed="false">
      <c r="A19" s="13" t="s">
        <v>36</v>
      </c>
      <c r="B19" s="17" t="n">
        <v>5</v>
      </c>
    </row>
    <row r="20" customFormat="false" ht="15" hidden="false" customHeight="false" outlineLevel="0" collapsed="false">
      <c r="A20" s="13" t="s">
        <v>37</v>
      </c>
      <c r="B20" s="17" t="n">
        <v>8000000</v>
      </c>
      <c r="C20" s="16" t="s">
        <v>25</v>
      </c>
    </row>
    <row r="21" customFormat="false" ht="15" hidden="false" customHeight="false" outlineLevel="0" collapsed="false">
      <c r="A21" s="13" t="s">
        <v>38</v>
      </c>
      <c r="B21" s="17" t="n">
        <v>3</v>
      </c>
      <c r="C21" s="16" t="s">
        <v>25</v>
      </c>
    </row>
    <row r="22" customFormat="false" ht="15" hidden="false" customHeight="false" outlineLevel="0" collapsed="false">
      <c r="A22" s="13" t="s">
        <v>39</v>
      </c>
      <c r="B22" s="17" t="n">
        <v>3500000</v>
      </c>
      <c r="C22" s="16" t="s">
        <v>25</v>
      </c>
    </row>
    <row r="23" customFormat="false" ht="15" hidden="false" customHeight="false" outlineLevel="0" collapsed="false">
      <c r="A23" s="13" t="s">
        <v>40</v>
      </c>
      <c r="B23" s="15" t="n">
        <v>0.1</v>
      </c>
      <c r="C23" s="16" t="s">
        <v>41</v>
      </c>
    </row>
    <row r="24" customFormat="false" ht="15" hidden="false" customHeight="false" outlineLevel="0" collapsed="false">
      <c r="A24" s="13" t="s">
        <v>42</v>
      </c>
      <c r="B24" s="17" t="n">
        <v>30000000</v>
      </c>
      <c r="C24" s="16" t="s">
        <v>43</v>
      </c>
    </row>
    <row r="26" customFormat="false" ht="15" hidden="false" customHeight="false" outlineLevel="0" collapsed="false">
      <c r="A26" s="12" t="s">
        <v>44</v>
      </c>
      <c r="B26" s="12"/>
      <c r="C26" s="12"/>
    </row>
    <row r="27" customFormat="false" ht="15" hidden="false" customHeight="false" outlineLevel="0" collapsed="false">
      <c r="A27" s="13" t="s">
        <v>45</v>
      </c>
      <c r="B27" s="17" t="n">
        <v>12</v>
      </c>
      <c r="C27" s="16" t="s">
        <v>33</v>
      </c>
    </row>
    <row r="28" customFormat="false" ht="15" hidden="false" customHeight="false" outlineLevel="0" collapsed="false">
      <c r="A28" s="13" t="s">
        <v>46</v>
      </c>
      <c r="B28" s="17" t="n">
        <v>30</v>
      </c>
      <c r="C28" s="16" t="s">
        <v>47</v>
      </c>
    </row>
    <row r="29" customFormat="false" ht="15" hidden="false" customHeight="false" outlineLevel="0" collapsed="false">
      <c r="A29" s="13" t="s">
        <v>48</v>
      </c>
      <c r="B29" s="17" t="n">
        <v>150</v>
      </c>
      <c r="C29" s="16" t="s">
        <v>49</v>
      </c>
    </row>
    <row r="30" customFormat="false" ht="15" hidden="false" customHeight="false" outlineLevel="0" collapsed="false">
      <c r="A30" s="13" t="s">
        <v>50</v>
      </c>
      <c r="B30" s="17" t="n">
        <v>95000000</v>
      </c>
      <c r="C30" s="16" t="s">
        <v>51</v>
      </c>
    </row>
    <row r="31" customFormat="false" ht="15" hidden="false" customHeight="false" outlineLevel="0" collapsed="false">
      <c r="A31" s="13" t="s">
        <v>52</v>
      </c>
      <c r="B31" s="17" t="n">
        <v>4000000</v>
      </c>
      <c r="C31" s="16" t="s">
        <v>25</v>
      </c>
    </row>
    <row r="32" customFormat="false" ht="15" hidden="false" customHeight="false" outlineLevel="0" collapsed="false">
      <c r="A32" s="13" t="s">
        <v>53</v>
      </c>
      <c r="B32" s="17" t="n">
        <v>2000000</v>
      </c>
      <c r="C32" s="16" t="s">
        <v>25</v>
      </c>
    </row>
    <row r="34" customFormat="false" ht="15" hidden="false" customHeight="false" outlineLevel="0" collapsed="false">
      <c r="A34" s="12" t="s">
        <v>54</v>
      </c>
      <c r="B34" s="12"/>
      <c r="C34" s="12"/>
    </row>
    <row r="35" customFormat="false" ht="15" hidden="false" customHeight="false" outlineLevel="0" collapsed="false">
      <c r="A35" s="13" t="s">
        <v>55</v>
      </c>
      <c r="B35" s="17" t="n">
        <v>10000000</v>
      </c>
      <c r="C35" s="16" t="s">
        <v>56</v>
      </c>
    </row>
    <row r="36" customFormat="false" ht="15" hidden="false" customHeight="false" outlineLevel="0" collapsed="false">
      <c r="A36" s="13" t="s">
        <v>57</v>
      </c>
      <c r="B36" s="17" t="n">
        <v>23750000</v>
      </c>
      <c r="C36" s="16" t="s">
        <v>56</v>
      </c>
    </row>
    <row r="37" customFormat="false" ht="15" hidden="false" customHeight="false" outlineLevel="0" collapsed="false">
      <c r="A37" s="13" t="s">
        <v>58</v>
      </c>
      <c r="B37" s="17" t="n">
        <v>27000000</v>
      </c>
      <c r="C37" s="16" t="s">
        <v>56</v>
      </c>
    </row>
    <row r="38" customFormat="false" ht="15" hidden="false" customHeight="false" outlineLevel="0" collapsed="false">
      <c r="A38" s="13" t="s">
        <v>59</v>
      </c>
      <c r="B38" s="18" t="n">
        <v>3</v>
      </c>
      <c r="C38" s="16" t="s">
        <v>25</v>
      </c>
    </row>
    <row r="39" customFormat="false" ht="15" hidden="false" customHeight="false" outlineLevel="0" collapsed="false">
      <c r="A39" s="13" t="s">
        <v>60</v>
      </c>
      <c r="B39" s="15" t="n">
        <v>0.2</v>
      </c>
      <c r="C39" s="16" t="s">
        <v>25</v>
      </c>
    </row>
    <row r="40" customFormat="false" ht="15" hidden="false" customHeight="false" outlineLevel="0" collapsed="false">
      <c r="A40" s="13" t="s">
        <v>61</v>
      </c>
      <c r="B40" s="15" t="n">
        <v>0.65</v>
      </c>
      <c r="C40" s="16" t="s">
        <v>62</v>
      </c>
    </row>
    <row r="41" customFormat="false" ht="15" hidden="false" customHeight="false" outlineLevel="0" collapsed="false">
      <c r="A41" s="13" t="s">
        <v>63</v>
      </c>
      <c r="B41" s="15" t="n">
        <v>0.15</v>
      </c>
      <c r="C41" s="16" t="s">
        <v>25</v>
      </c>
    </row>
    <row r="42" customFormat="false" ht="15" hidden="false" customHeight="false" outlineLevel="0" collapsed="false">
      <c r="A42" s="13" t="s">
        <v>64</v>
      </c>
      <c r="B42" s="19" t="n">
        <f aca="false">B39+B40+B41</f>
        <v>1</v>
      </c>
    </row>
    <row r="44" customFormat="false" ht="15" hidden="false" customHeight="false" outlineLevel="0" collapsed="false">
      <c r="A44" s="12" t="s">
        <v>65</v>
      </c>
      <c r="B44" s="12"/>
      <c r="C44" s="12"/>
    </row>
    <row r="45" customFormat="false" ht="15" hidden="false" customHeight="false" outlineLevel="0" collapsed="false">
      <c r="A45" s="13" t="s">
        <v>66</v>
      </c>
      <c r="B45" s="17" t="n">
        <v>40000000</v>
      </c>
      <c r="C45" s="16" t="s">
        <v>33</v>
      </c>
    </row>
    <row r="46" customFormat="false" ht="15" hidden="false" customHeight="false" outlineLevel="0" collapsed="false">
      <c r="A46" s="13" t="s">
        <v>67</v>
      </c>
      <c r="B46" s="17" t="n">
        <v>6000000</v>
      </c>
      <c r="C46" s="16" t="s">
        <v>25</v>
      </c>
    </row>
    <row r="47" customFormat="false" ht="15" hidden="false" customHeight="false" outlineLevel="0" collapsed="false">
      <c r="A47" s="13" t="s">
        <v>68</v>
      </c>
      <c r="B47" s="17" t="n">
        <v>5000000</v>
      </c>
      <c r="C47" s="16" t="s">
        <v>25</v>
      </c>
    </row>
    <row r="48" customFormat="false" ht="15" hidden="false" customHeight="false" outlineLevel="0" collapsed="false">
      <c r="A48" s="13" t="s">
        <v>69</v>
      </c>
      <c r="B48" s="17" t="n">
        <v>4000000</v>
      </c>
      <c r="C48" s="16" t="s">
        <v>25</v>
      </c>
    </row>
    <row r="49" customFormat="false" ht="15" hidden="false" customHeight="false" outlineLevel="0" collapsed="false">
      <c r="A49" s="13" t="s">
        <v>70</v>
      </c>
      <c r="B49" s="17" t="n">
        <v>3000000</v>
      </c>
      <c r="C49" s="16" t="s">
        <v>25</v>
      </c>
    </row>
    <row r="50" customFormat="false" ht="15" hidden="false" customHeight="false" outlineLevel="0" collapsed="false">
      <c r="A50" s="13" t="s">
        <v>71</v>
      </c>
      <c r="B50" s="17" t="n">
        <v>3000000</v>
      </c>
      <c r="C50" s="16" t="s">
        <v>25</v>
      </c>
    </row>
    <row r="52" customFormat="false" ht="15" hidden="false" customHeight="false" outlineLevel="0" collapsed="false">
      <c r="A52" s="12" t="s">
        <v>72</v>
      </c>
      <c r="B52" s="12"/>
      <c r="C52" s="12"/>
    </row>
    <row r="53" customFormat="false" ht="15" hidden="false" customHeight="false" outlineLevel="0" collapsed="false">
      <c r="A53" s="13" t="s">
        <v>73</v>
      </c>
      <c r="B53" s="17" t="n">
        <v>300000000</v>
      </c>
      <c r="C53" s="16" t="s">
        <v>25</v>
      </c>
    </row>
    <row r="54" customFormat="false" ht="15" hidden="false" customHeight="false" outlineLevel="0" collapsed="false">
      <c r="A54" s="13" t="s">
        <v>74</v>
      </c>
      <c r="B54" s="17" t="n">
        <v>150000000</v>
      </c>
      <c r="C54" s="16" t="s">
        <v>25</v>
      </c>
    </row>
    <row r="55" customFormat="false" ht="15" hidden="false" customHeight="false" outlineLevel="0" collapsed="false">
      <c r="A55" s="13" t="s">
        <v>75</v>
      </c>
      <c r="B55" s="17" t="n">
        <v>120000000</v>
      </c>
      <c r="C55" s="16" t="s">
        <v>25</v>
      </c>
    </row>
    <row r="56" customFormat="false" ht="15" hidden="false" customHeight="false" outlineLevel="0" collapsed="false">
      <c r="A56" s="13" t="s">
        <v>76</v>
      </c>
      <c r="B56" s="17" t="n">
        <v>80000000</v>
      </c>
      <c r="C56" s="16" t="s">
        <v>25</v>
      </c>
    </row>
    <row r="57" customFormat="false" ht="15" hidden="false" customHeight="false" outlineLevel="0" collapsed="false">
      <c r="A57" s="20" t="s">
        <v>77</v>
      </c>
      <c r="B57" s="21" t="n">
        <f aca="false">SUM(B53:B56)</f>
        <v>650000000</v>
      </c>
    </row>
    <row r="58" customFormat="false" ht="15" hidden="false" customHeight="false" outlineLevel="0" collapsed="false">
      <c r="A58" s="13" t="s">
        <v>78</v>
      </c>
      <c r="B58" s="22" t="n">
        <v>5</v>
      </c>
    </row>
    <row r="59" customFormat="false" ht="15" hidden="false" customHeight="false" outlineLevel="0" collapsed="false">
      <c r="A59" s="20" t="s">
        <v>79</v>
      </c>
      <c r="B59" s="21" t="n">
        <f aca="false">B57/B58</f>
        <v>130000000</v>
      </c>
    </row>
    <row r="60" customFormat="false" ht="15" hidden="false" customHeight="false" outlineLevel="0" collapsed="false">
      <c r="A60" s="2" t="s">
        <v>80</v>
      </c>
      <c r="B60" s="2"/>
      <c r="C60" s="2"/>
    </row>
  </sheetData>
  <mergeCells count="9">
    <mergeCell ref="A1:C1"/>
    <mergeCell ref="A2:C2"/>
    <mergeCell ref="A4:C4"/>
    <mergeCell ref="A14:C14"/>
    <mergeCell ref="A26:C26"/>
    <mergeCell ref="A34:C34"/>
    <mergeCell ref="A44:C44"/>
    <mergeCell ref="A52:C52"/>
    <mergeCell ref="A60:C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20"/>
    <col collapsed="false" customWidth="true" hidden="false" outlineLevel="0" max="16" min="7" style="0" width="17"/>
  </cols>
  <sheetData>
    <row r="1" customFormat="false" ht="25.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30" hidden="false" customHeight="true" outlineLevel="0" collapsed="false">
      <c r="A3" s="3" t="s">
        <v>82</v>
      </c>
      <c r="B3" s="3" t="s">
        <v>83</v>
      </c>
      <c r="C3" s="23" t="s">
        <v>84</v>
      </c>
      <c r="D3" s="3" t="s">
        <v>85</v>
      </c>
      <c r="E3" s="23" t="s">
        <v>86</v>
      </c>
      <c r="F3" s="3" t="s">
        <v>87</v>
      </c>
      <c r="G3" s="3" t="s">
        <v>88</v>
      </c>
      <c r="H3" s="3" t="s">
        <v>89</v>
      </c>
      <c r="I3" s="3" t="s">
        <v>90</v>
      </c>
      <c r="J3" s="3" t="s">
        <v>91</v>
      </c>
      <c r="K3" s="3" t="s">
        <v>92</v>
      </c>
      <c r="L3" s="3" t="s">
        <v>93</v>
      </c>
      <c r="M3" s="3" t="s">
        <v>94</v>
      </c>
      <c r="N3" s="3" t="s">
        <v>95</v>
      </c>
      <c r="O3" s="3" t="s">
        <v>96</v>
      </c>
      <c r="P3" s="3" t="s">
        <v>97</v>
      </c>
    </row>
    <row r="4" customFormat="false" ht="15" hidden="false" customHeight="false" outlineLevel="0" collapsed="false">
      <c r="A4" s="4" t="s">
        <v>98</v>
      </c>
      <c r="B4" s="7" t="n">
        <f aca="false">Assumptions!B15</f>
        <v>1</v>
      </c>
      <c r="C4" s="7" t="n">
        <f aca="false">Assumptions!B16</f>
        <v>22000000</v>
      </c>
      <c r="D4" s="8" t="n">
        <f aca="false">Assumptions!$B$23</f>
        <v>0.1</v>
      </c>
      <c r="E4" s="24" t="n">
        <f aca="false">C4*(1+D4)</f>
        <v>24200000</v>
      </c>
      <c r="F4" s="24" t="n">
        <f aca="false">E4*B4</f>
        <v>24200000</v>
      </c>
      <c r="G4" s="24" t="n">
        <f aca="false">F4*12</f>
        <v>290400000</v>
      </c>
      <c r="H4" s="24" t="n">
        <f aca="false">G4*(1+Assumptions!$B$10)</f>
        <v>307824000</v>
      </c>
      <c r="I4" s="24" t="n">
        <f aca="false">H4*(1+Assumptions!$B$10)</f>
        <v>326293440</v>
      </c>
      <c r="J4" s="24" t="n">
        <f aca="false">I4*(1+Assumptions!$B$10)</f>
        <v>345871046.4</v>
      </c>
      <c r="K4" s="24" t="n">
        <f aca="false">J4*(1+Assumptions!$B$10)</f>
        <v>366623309.184</v>
      </c>
      <c r="L4" s="24" t="n">
        <f aca="false">K4*(1+Assumptions!$B$10)</f>
        <v>388620707.73504</v>
      </c>
      <c r="M4" s="24" t="n">
        <f aca="false">L4*(1+Assumptions!$B$10)</f>
        <v>411937950.199143</v>
      </c>
      <c r="N4" s="24" t="n">
        <f aca="false">M4*(1+Assumptions!$B$10)</f>
        <v>436654227.211091</v>
      </c>
      <c r="O4" s="24" t="n">
        <f aca="false">N4*(1+Assumptions!$B$10)</f>
        <v>462853480.843757</v>
      </c>
      <c r="P4" s="24" t="n">
        <f aca="false">O4*(1+Assumptions!$B$10)</f>
        <v>490624689.694382</v>
      </c>
    </row>
    <row r="5" customFormat="false" ht="15" hidden="false" customHeight="false" outlineLevel="0" collapsed="false">
      <c r="A5" s="4" t="s">
        <v>99</v>
      </c>
      <c r="B5" s="7" t="n">
        <f aca="false">Assumptions!B17</f>
        <v>1</v>
      </c>
      <c r="C5" s="7" t="n">
        <f aca="false">Assumptions!B18</f>
        <v>40000000</v>
      </c>
      <c r="D5" s="25" t="n">
        <v>0</v>
      </c>
      <c r="E5" s="24" t="n">
        <f aca="false">C5*(1+D5)</f>
        <v>40000000</v>
      </c>
      <c r="F5" s="24" t="n">
        <f aca="false">E5*B5</f>
        <v>40000000</v>
      </c>
      <c r="G5" s="24" t="n">
        <f aca="false">F5*12</f>
        <v>480000000</v>
      </c>
      <c r="H5" s="24" t="n">
        <f aca="false">G5*(1+Assumptions!$B$10)</f>
        <v>508800000</v>
      </c>
      <c r="I5" s="24" t="n">
        <f aca="false">H5*(1+Assumptions!$B$10)</f>
        <v>539328000</v>
      </c>
      <c r="J5" s="24" t="n">
        <f aca="false">I5*(1+Assumptions!$B$10)</f>
        <v>571687680</v>
      </c>
      <c r="K5" s="24" t="n">
        <f aca="false">J5*(1+Assumptions!$B$10)</f>
        <v>605988940.8</v>
      </c>
      <c r="L5" s="24" t="n">
        <f aca="false">K5*(1+Assumptions!$B$10)</f>
        <v>642348277.248</v>
      </c>
      <c r="M5" s="24" t="n">
        <f aca="false">L5*(1+Assumptions!$B$10)</f>
        <v>680889173.88288</v>
      </c>
      <c r="N5" s="24" t="n">
        <f aca="false">M5*(1+Assumptions!$B$10)</f>
        <v>721742524.315853</v>
      </c>
      <c r="O5" s="24" t="n">
        <f aca="false">N5*(1+Assumptions!$B$10)</f>
        <v>765047075.774804</v>
      </c>
      <c r="P5" s="24" t="n">
        <f aca="false">O5*(1+Assumptions!$B$10)</f>
        <v>810949900.321293</v>
      </c>
    </row>
    <row r="6" customFormat="false" ht="15" hidden="false" customHeight="false" outlineLevel="0" collapsed="false">
      <c r="A6" s="4" t="s">
        <v>100</v>
      </c>
      <c r="B6" s="7" t="n">
        <f aca="false">Assumptions!B19</f>
        <v>5</v>
      </c>
      <c r="C6" s="7" t="n">
        <f aca="false">Assumptions!B20</f>
        <v>8000000</v>
      </c>
      <c r="D6" s="8" t="n">
        <f aca="false">Assumptions!$B$23</f>
        <v>0.1</v>
      </c>
      <c r="E6" s="24" t="n">
        <f aca="false">C6*(1+D6)</f>
        <v>8800000</v>
      </c>
      <c r="F6" s="24" t="n">
        <f aca="false">E6*B6</f>
        <v>44000000</v>
      </c>
      <c r="G6" s="24" t="n">
        <f aca="false">F6*12</f>
        <v>528000000</v>
      </c>
      <c r="H6" s="24" t="n">
        <f aca="false">G6*(1+Assumptions!$B$10)</f>
        <v>559680000</v>
      </c>
      <c r="I6" s="24" t="n">
        <f aca="false">H6*(1+Assumptions!$B$10)</f>
        <v>593260800</v>
      </c>
      <c r="J6" s="24" t="n">
        <f aca="false">I6*(1+Assumptions!$B$10)</f>
        <v>628856448</v>
      </c>
      <c r="K6" s="24" t="n">
        <f aca="false">J6*(1+Assumptions!$B$10)</f>
        <v>666587834.88</v>
      </c>
      <c r="L6" s="24" t="n">
        <f aca="false">K6*(1+Assumptions!$B$10)</f>
        <v>706583104.9728</v>
      </c>
      <c r="M6" s="24" t="n">
        <f aca="false">L6*(1+Assumptions!$B$10)</f>
        <v>748978091.271168</v>
      </c>
      <c r="N6" s="24" t="n">
        <f aca="false">M6*(1+Assumptions!$B$10)</f>
        <v>793916776.747438</v>
      </c>
      <c r="O6" s="24" t="n">
        <f aca="false">N6*(1+Assumptions!$B$10)</f>
        <v>841551783.352285</v>
      </c>
      <c r="P6" s="24" t="n">
        <f aca="false">O6*(1+Assumptions!$B$10)</f>
        <v>892044890.353422</v>
      </c>
    </row>
    <row r="7" customFormat="false" ht="15" hidden="false" customHeight="false" outlineLevel="0" collapsed="false">
      <c r="A7" s="4" t="s">
        <v>101</v>
      </c>
      <c r="B7" s="7" t="n">
        <f aca="false">Assumptions!B21</f>
        <v>3</v>
      </c>
      <c r="C7" s="7" t="n">
        <f aca="false">Assumptions!B22</f>
        <v>3500000</v>
      </c>
      <c r="D7" s="8" t="n">
        <f aca="false">Assumptions!$B$23</f>
        <v>0.1</v>
      </c>
      <c r="E7" s="24" t="n">
        <f aca="false">C7*(1+D7)</f>
        <v>3850000</v>
      </c>
      <c r="F7" s="24" t="n">
        <f aca="false">E7*B7</f>
        <v>11550000</v>
      </c>
      <c r="G7" s="24" t="n">
        <f aca="false">F7*12</f>
        <v>138600000</v>
      </c>
      <c r="H7" s="24" t="n">
        <f aca="false">G7*(1+Assumptions!$B$10)</f>
        <v>146916000</v>
      </c>
      <c r="I7" s="24" t="n">
        <f aca="false">H7*(1+Assumptions!$B$10)</f>
        <v>155730960</v>
      </c>
      <c r="J7" s="24" t="n">
        <f aca="false">I7*(1+Assumptions!$B$10)</f>
        <v>165074817.6</v>
      </c>
      <c r="K7" s="24" t="n">
        <f aca="false">J7*(1+Assumptions!$B$10)</f>
        <v>174979306.656</v>
      </c>
      <c r="L7" s="24" t="n">
        <f aca="false">K7*(1+Assumptions!$B$10)</f>
        <v>185478065.05536</v>
      </c>
      <c r="M7" s="24" t="n">
        <f aca="false">L7*(1+Assumptions!$B$10)</f>
        <v>196606748.958682</v>
      </c>
      <c r="N7" s="24" t="n">
        <f aca="false">M7*(1+Assumptions!$B$10)</f>
        <v>208403153.896203</v>
      </c>
      <c r="O7" s="24" t="n">
        <f aca="false">N7*(1+Assumptions!$B$10)</f>
        <v>220907343.129975</v>
      </c>
      <c r="P7" s="24" t="n">
        <f aca="false">O7*(1+Assumptions!$B$10)</f>
        <v>234161783.717773</v>
      </c>
    </row>
    <row r="8" customFormat="false" ht="15" hidden="false" customHeight="false" outlineLevel="0" collapsed="false">
      <c r="A8" s="4" t="s">
        <v>102</v>
      </c>
      <c r="B8" s="9"/>
      <c r="C8" s="9"/>
      <c r="D8" s="9"/>
      <c r="E8" s="9"/>
      <c r="F8" s="9"/>
      <c r="G8" s="7" t="n">
        <f aca="false">Assumptions!$B$24</f>
        <v>30000000</v>
      </c>
      <c r="H8" s="24" t="n">
        <f aca="false">G8*(1+Assumptions!$B$10)</f>
        <v>31800000</v>
      </c>
      <c r="I8" s="24" t="n">
        <f aca="false">H8*(1+Assumptions!$B$10)</f>
        <v>33708000</v>
      </c>
      <c r="J8" s="24" t="n">
        <f aca="false">I8*(1+Assumptions!$B$10)</f>
        <v>35730480</v>
      </c>
      <c r="K8" s="24" t="n">
        <f aca="false">J8*(1+Assumptions!$B$10)</f>
        <v>37874308.8</v>
      </c>
      <c r="L8" s="24" t="n">
        <f aca="false">K8*(1+Assumptions!$B$10)</f>
        <v>40146767.328</v>
      </c>
      <c r="M8" s="24" t="n">
        <f aca="false">L8*(1+Assumptions!$B$10)</f>
        <v>42555573.36768</v>
      </c>
      <c r="N8" s="24" t="n">
        <f aca="false">M8*(1+Assumptions!$B$10)</f>
        <v>45108907.7697408</v>
      </c>
      <c r="O8" s="24" t="n">
        <f aca="false">N8*(1+Assumptions!$B$10)</f>
        <v>47815442.2359253</v>
      </c>
      <c r="P8" s="24" t="n">
        <f aca="false">O8*(1+Assumptions!$B$10)</f>
        <v>50684368.7700808</v>
      </c>
    </row>
    <row r="9" customFormat="false" ht="15" hidden="false" customHeight="false" outlineLevel="0" collapsed="false">
      <c r="A9" s="10" t="s">
        <v>103</v>
      </c>
      <c r="B9" s="10"/>
      <c r="C9" s="11" t="n">
        <f aca="false">SUM(C4:C8)</f>
        <v>73500000</v>
      </c>
      <c r="D9" s="10"/>
      <c r="E9" s="11" t="n">
        <f aca="false">SUM(E4:E8)</f>
        <v>76850000</v>
      </c>
      <c r="F9" s="11" t="n">
        <f aca="false">SUM(F4:F8)</f>
        <v>119750000</v>
      </c>
      <c r="G9" s="11" t="n">
        <f aca="false">SUM(G4:G8)</f>
        <v>1467000000</v>
      </c>
      <c r="H9" s="11" t="n">
        <f aca="false">SUM(H4:H8)</f>
        <v>1555020000</v>
      </c>
      <c r="I9" s="11" t="n">
        <f aca="false">SUM(I4:I8)</f>
        <v>1648321200</v>
      </c>
      <c r="J9" s="11" t="n">
        <f aca="false">SUM(J4:J8)</f>
        <v>1747220472</v>
      </c>
      <c r="K9" s="11" t="n">
        <f aca="false">SUM(K4:K8)</f>
        <v>1852053700.32</v>
      </c>
      <c r="L9" s="11" t="n">
        <f aca="false">SUM(L4:L8)</f>
        <v>1963176922.3392</v>
      </c>
      <c r="M9" s="11" t="n">
        <f aca="false">SUM(M4:M8)</f>
        <v>2080967537.67955</v>
      </c>
      <c r="N9" s="11" t="n">
        <f aca="false">SUM(N4:N8)</f>
        <v>2205825589.94033</v>
      </c>
      <c r="O9" s="11" t="n">
        <f aca="false">SUM(O4:O8)</f>
        <v>2338175125.33675</v>
      </c>
      <c r="P9" s="11" t="n">
        <f aca="false">SUM(P4:P8)</f>
        <v>2478465632.85695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6"/>
  </cols>
  <sheetData>
    <row r="1" customFormat="false" ht="25.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3" t="s">
        <v>2</v>
      </c>
      <c r="B3" s="3" t="str">
        <f aca="false">"Year "&amp;1&amp;" ("&amp;(Assumptions!$B$8+0)&amp;")"</f>
        <v>Year 1 (2026)</v>
      </c>
      <c r="C3" s="3" t="str">
        <f aca="false">"Year "&amp;2&amp;" ("&amp;(Assumptions!$B$8+1)&amp;")"</f>
        <v>Year 2 (2027)</v>
      </c>
      <c r="D3" s="3" t="str">
        <f aca="false">"Year "&amp;3&amp;" ("&amp;(Assumptions!$B$8+2)&amp;")"</f>
        <v>Year 3 (2028)</v>
      </c>
      <c r="E3" s="3" t="str">
        <f aca="false">"Year "&amp;4&amp;" ("&amp;(Assumptions!$B$8+3)&amp;")"</f>
        <v>Year 4 (2029)</v>
      </c>
      <c r="F3" s="3" t="str">
        <f aca="false">"Year "&amp;5&amp;" ("&amp;(Assumptions!$B$8+4)&amp;")"</f>
        <v>Year 5 (2030)</v>
      </c>
      <c r="G3" s="3" t="str">
        <f aca="false">"Year "&amp;6&amp;" ("&amp;(Assumptions!$B$8+5)&amp;")"</f>
        <v>Year 6 (2031)</v>
      </c>
      <c r="H3" s="3" t="str">
        <f aca="false">"Year "&amp;7&amp;" ("&amp;(Assumptions!$B$8+6)&amp;")"</f>
        <v>Year 7 (2032)</v>
      </c>
      <c r="I3" s="3" t="str">
        <f aca="false">"Year "&amp;8&amp;" ("&amp;(Assumptions!$B$8+7)&amp;")"</f>
        <v>Year 8 (2033)</v>
      </c>
      <c r="J3" s="3" t="str">
        <f aca="false">"Year "&amp;9&amp;" ("&amp;(Assumptions!$B$8+8)&amp;")"</f>
        <v>Year 9 (2034)</v>
      </c>
      <c r="K3" s="3" t="str">
        <f aca="false">"Year "&amp;10&amp;" ("&amp;(Assumptions!$B$8+9)&amp;")"</f>
        <v>Year 10 (2035)</v>
      </c>
    </row>
    <row r="4" customFormat="false" ht="15" hidden="false" customHeight="false" outlineLevel="0" collapsed="false">
      <c r="A4" s="4" t="s">
        <v>105</v>
      </c>
      <c r="B4" s="26" t="n">
        <f aca="false">Assumptions!$B$27</f>
        <v>12</v>
      </c>
      <c r="C4" s="26" t="n">
        <f aca="false">B5</f>
        <v>30</v>
      </c>
      <c r="D4" s="26" t="n">
        <f aca="false">C5</f>
        <v>39.24</v>
      </c>
      <c r="E4" s="26" t="n">
        <f aca="false">D5</f>
        <v>51.32592</v>
      </c>
      <c r="F4" s="26" t="n">
        <f aca="false">E5</f>
        <v>67.13430336</v>
      </c>
      <c r="G4" s="26" t="n">
        <f aca="false">F5</f>
        <v>87.81166879488</v>
      </c>
      <c r="H4" s="26" t="n">
        <f aca="false">G5</f>
        <v>114.857662783703</v>
      </c>
      <c r="I4" s="26" t="n">
        <f aca="false">H5</f>
        <v>150</v>
      </c>
      <c r="J4" s="26" t="n">
        <f aca="false">I5</f>
        <v>150</v>
      </c>
      <c r="K4" s="26" t="n">
        <f aca="false">J5</f>
        <v>150</v>
      </c>
    </row>
    <row r="5" customFormat="false" ht="15" hidden="false" customHeight="false" outlineLevel="0" collapsed="false">
      <c r="A5" s="4" t="s">
        <v>106</v>
      </c>
      <c r="B5" s="26" t="n">
        <f aca="false">Assumptions!$B$28</f>
        <v>30</v>
      </c>
      <c r="C5" s="26" t="n">
        <f aca="false">MIN(C4*(1+Assumptions!$B$12),Assumptions!$B$29)</f>
        <v>39.24</v>
      </c>
      <c r="D5" s="26" t="n">
        <f aca="false">MIN(D4*(1+Assumptions!$B$12),Assumptions!$B$29)</f>
        <v>51.32592</v>
      </c>
      <c r="E5" s="26" t="n">
        <f aca="false">MIN(E4*(1+Assumptions!$B$12),Assumptions!$B$29)</f>
        <v>67.13430336</v>
      </c>
      <c r="F5" s="26" t="n">
        <f aca="false">MIN(F4*(1+Assumptions!$B$12),Assumptions!$B$29)</f>
        <v>87.81166879488</v>
      </c>
      <c r="G5" s="26" t="n">
        <f aca="false">MIN(G4*(1+Assumptions!$B$12),Assumptions!$B$29)</f>
        <v>114.857662783703</v>
      </c>
      <c r="H5" s="26" t="n">
        <f aca="false">MIN(H4*(1+Assumptions!$B$12),Assumptions!$B$29)</f>
        <v>150</v>
      </c>
      <c r="I5" s="26" t="n">
        <f aca="false">MIN(I4*(1+Assumptions!$B$12),Assumptions!$B$29)</f>
        <v>150</v>
      </c>
      <c r="J5" s="26" t="n">
        <f aca="false">MIN(J4*(1+Assumptions!$B$12),Assumptions!$B$29)</f>
        <v>150</v>
      </c>
      <c r="K5" s="26" t="n">
        <f aca="false">MIN(K4*(1+Assumptions!$B$12),Assumptions!$B$29)</f>
        <v>150</v>
      </c>
    </row>
    <row r="6" customFormat="false" ht="15" hidden="false" customHeight="false" outlineLevel="0" collapsed="false">
      <c r="A6" s="6" t="s">
        <v>4</v>
      </c>
      <c r="B6" s="27" t="n">
        <f aca="false">(B4+B5)/2</f>
        <v>21</v>
      </c>
      <c r="C6" s="27" t="n">
        <f aca="false">(C4+C5)/2</f>
        <v>34.62</v>
      </c>
      <c r="D6" s="27" t="n">
        <f aca="false">(D4+D5)/2</f>
        <v>45.28296</v>
      </c>
      <c r="E6" s="27" t="n">
        <f aca="false">(E4+E5)/2</f>
        <v>59.23011168</v>
      </c>
      <c r="F6" s="27" t="n">
        <f aca="false">(F4+F5)/2</f>
        <v>77.47298607744</v>
      </c>
      <c r="G6" s="27" t="n">
        <f aca="false">(G4+G5)/2</f>
        <v>101.334665789292</v>
      </c>
      <c r="H6" s="27" t="n">
        <f aca="false">(H4+H5)/2</f>
        <v>132.428831391852</v>
      </c>
      <c r="I6" s="27" t="n">
        <f aca="false">(I4+I5)/2</f>
        <v>150</v>
      </c>
      <c r="J6" s="27" t="n">
        <f aca="false">(J4+J5)/2</f>
        <v>150</v>
      </c>
      <c r="K6" s="27" t="n">
        <f aca="false">(K4+K5)/2</f>
        <v>150</v>
      </c>
    </row>
    <row r="7" customFormat="false" ht="15" hidden="false" customHeight="false" outlineLevel="0" collapsed="false">
      <c r="A7" s="4" t="s">
        <v>107</v>
      </c>
      <c r="B7" s="28" t="n">
        <f aca="false">Assumptions!$B$29</f>
        <v>150</v>
      </c>
      <c r="C7" s="28" t="n">
        <f aca="false">Assumptions!$B$29</f>
        <v>150</v>
      </c>
      <c r="D7" s="28" t="n">
        <f aca="false">Assumptions!$B$29</f>
        <v>150</v>
      </c>
      <c r="E7" s="28" t="n">
        <f aca="false">Assumptions!$B$29</f>
        <v>150</v>
      </c>
      <c r="F7" s="28" t="n">
        <f aca="false">Assumptions!$B$29</f>
        <v>150</v>
      </c>
      <c r="G7" s="28" t="n">
        <f aca="false">Assumptions!$B$29</f>
        <v>150</v>
      </c>
      <c r="H7" s="28" t="n">
        <f aca="false">Assumptions!$B$29</f>
        <v>150</v>
      </c>
      <c r="I7" s="28" t="n">
        <f aca="false">Assumptions!$B$29</f>
        <v>150</v>
      </c>
      <c r="J7" s="28" t="n">
        <f aca="false">Assumptions!$B$29</f>
        <v>150</v>
      </c>
      <c r="K7" s="28" t="n">
        <f aca="false">Assumptions!$B$29</f>
        <v>150</v>
      </c>
    </row>
    <row r="8" customFormat="false" ht="15" hidden="false" customHeight="false" outlineLevel="0" collapsed="false">
      <c r="A8" s="4" t="s">
        <v>108</v>
      </c>
      <c r="B8" s="25" t="n">
        <f aca="false">B5/B7</f>
        <v>0.2</v>
      </c>
      <c r="C8" s="25" t="n">
        <f aca="false">C5/C7</f>
        <v>0.2616</v>
      </c>
      <c r="D8" s="25" t="n">
        <f aca="false">D5/D7</f>
        <v>0.3421728</v>
      </c>
      <c r="E8" s="25" t="n">
        <f aca="false">E5/E7</f>
        <v>0.4475620224</v>
      </c>
      <c r="F8" s="25" t="n">
        <f aca="false">F5/F7</f>
        <v>0.5854111252992</v>
      </c>
      <c r="G8" s="25" t="n">
        <f aca="false">G5/G7</f>
        <v>0.765717751891354</v>
      </c>
      <c r="H8" s="25" t="n">
        <f aca="false">H5/H7</f>
        <v>1</v>
      </c>
      <c r="I8" s="25" t="n">
        <f aca="false">I5/I7</f>
        <v>1</v>
      </c>
      <c r="J8" s="25" t="n">
        <f aca="false">J5/J7</f>
        <v>1</v>
      </c>
      <c r="K8" s="25" t="n">
        <f aca="false">K5/K7</f>
        <v>1</v>
      </c>
    </row>
    <row r="9" customFormat="false" ht="15" hidden="false" customHeight="false" outlineLevel="0" collapsed="false">
      <c r="A9" s="4" t="s">
        <v>109</v>
      </c>
      <c r="B9" s="26" t="n">
        <f aca="false">B6*Assumptions!$B$39</f>
        <v>4.2</v>
      </c>
      <c r="C9" s="26" t="n">
        <f aca="false">C6*Assumptions!$B$39</f>
        <v>6.924</v>
      </c>
      <c r="D9" s="26" t="n">
        <f aca="false">D6*Assumptions!$B$39</f>
        <v>9.056592</v>
      </c>
      <c r="E9" s="26" t="n">
        <f aca="false">E6*Assumptions!$B$39</f>
        <v>11.846022336</v>
      </c>
      <c r="F9" s="26" t="n">
        <f aca="false">F6*Assumptions!$B$39</f>
        <v>15.494597215488</v>
      </c>
      <c r="G9" s="26" t="n">
        <f aca="false">G6*Assumptions!$B$39</f>
        <v>20.2669331578583</v>
      </c>
      <c r="H9" s="26" t="n">
        <f aca="false">H6*Assumptions!$B$39</f>
        <v>26.4857662783703</v>
      </c>
      <c r="I9" s="26" t="n">
        <f aca="false">I6*Assumptions!$B$39</f>
        <v>30</v>
      </c>
      <c r="J9" s="26" t="n">
        <f aca="false">J6*Assumptions!$B$39</f>
        <v>30</v>
      </c>
      <c r="K9" s="26" t="n">
        <f aca="false">K6*Assumptions!$B$39</f>
        <v>30</v>
      </c>
    </row>
    <row r="10" customFormat="false" ht="15" hidden="false" customHeight="false" outlineLevel="0" collapsed="false">
      <c r="A10" s="4" t="s">
        <v>110</v>
      </c>
      <c r="B10" s="26" t="n">
        <f aca="false">B6*Assumptions!$B$40</f>
        <v>13.65</v>
      </c>
      <c r="C10" s="26" t="n">
        <f aca="false">C6*Assumptions!$B$40</f>
        <v>22.503</v>
      </c>
      <c r="D10" s="26" t="n">
        <f aca="false">D6*Assumptions!$B$40</f>
        <v>29.433924</v>
      </c>
      <c r="E10" s="26" t="n">
        <f aca="false">E6*Assumptions!$B$40</f>
        <v>38.499572592</v>
      </c>
      <c r="F10" s="26" t="n">
        <f aca="false">F6*Assumptions!$B$40</f>
        <v>50.357440950336</v>
      </c>
      <c r="G10" s="26" t="n">
        <f aca="false">G6*Assumptions!$B$40</f>
        <v>65.8675327630395</v>
      </c>
      <c r="H10" s="26" t="n">
        <f aca="false">H6*Assumptions!$B$40</f>
        <v>86.0787404047035</v>
      </c>
      <c r="I10" s="26" t="n">
        <f aca="false">I6*Assumptions!$B$40</f>
        <v>97.5</v>
      </c>
      <c r="J10" s="26" t="n">
        <f aca="false">J6*Assumptions!$B$40</f>
        <v>97.5</v>
      </c>
      <c r="K10" s="26" t="n">
        <f aca="false">K6*Assumptions!$B$40</f>
        <v>97.5</v>
      </c>
    </row>
    <row r="11" customFormat="false" ht="15" hidden="false" customHeight="false" outlineLevel="0" collapsed="false">
      <c r="A11" s="4" t="s">
        <v>111</v>
      </c>
      <c r="B11" s="26" t="n">
        <f aca="false">B6*Assumptions!$B$41</f>
        <v>3.15</v>
      </c>
      <c r="C11" s="26" t="n">
        <f aca="false">C6*Assumptions!$B$41</f>
        <v>5.193</v>
      </c>
      <c r="D11" s="26" t="n">
        <f aca="false">D6*Assumptions!$B$41</f>
        <v>6.792444</v>
      </c>
      <c r="E11" s="26" t="n">
        <f aca="false">E6*Assumptions!$B$41</f>
        <v>8.884516752</v>
      </c>
      <c r="F11" s="26" t="n">
        <f aca="false">F6*Assumptions!$B$41</f>
        <v>11.620947911616</v>
      </c>
      <c r="G11" s="26" t="n">
        <f aca="false">G6*Assumptions!$B$41</f>
        <v>15.2001998683937</v>
      </c>
      <c r="H11" s="26" t="n">
        <f aca="false">H6*Assumptions!$B$41</f>
        <v>19.8643247087777</v>
      </c>
      <c r="I11" s="26" t="n">
        <f aca="false">I6*Assumptions!$B$41</f>
        <v>22.5</v>
      </c>
      <c r="J11" s="26" t="n">
        <f aca="false">J6*Assumptions!$B$41</f>
        <v>22.5</v>
      </c>
      <c r="K11" s="26" t="n">
        <f aca="false">K6*Assumptions!$B$41</f>
        <v>22.5</v>
      </c>
    </row>
    <row r="12" customFormat="false" ht="15" hidden="false" customHeight="false" outlineLevel="0" collapsed="false">
      <c r="A12" s="4" t="s">
        <v>112</v>
      </c>
      <c r="B12" s="24" t="n">
        <f aca="false">Assumptions!$B$35*Assumptions!$B$38</f>
        <v>30000000</v>
      </c>
      <c r="C12" s="24" t="n">
        <f aca="false">B12*(1+Assumptions!$B$11)</f>
        <v>31500000</v>
      </c>
      <c r="D12" s="24" t="n">
        <f aca="false">C12*(1+Assumptions!$B$11)</f>
        <v>33075000</v>
      </c>
      <c r="E12" s="24" t="n">
        <f aca="false">D12*(1+Assumptions!$B$11)</f>
        <v>34728750</v>
      </c>
      <c r="F12" s="24" t="n">
        <f aca="false">E12*(1+Assumptions!$B$11)</f>
        <v>36465187.5</v>
      </c>
      <c r="G12" s="24" t="n">
        <f aca="false">F12*(1+Assumptions!$B$11)</f>
        <v>38288446.875</v>
      </c>
      <c r="H12" s="24" t="n">
        <f aca="false">G12*(1+Assumptions!$B$11)</f>
        <v>40202869.21875</v>
      </c>
      <c r="I12" s="24" t="n">
        <f aca="false">H12*(1+Assumptions!$B$11)</f>
        <v>42213012.6796875</v>
      </c>
      <c r="J12" s="24" t="n">
        <f aca="false">I12*(1+Assumptions!$B$11)</f>
        <v>44323663.3136719</v>
      </c>
      <c r="K12" s="24" t="n">
        <f aca="false">J12*(1+Assumptions!$B$11)</f>
        <v>46539846.4793555</v>
      </c>
    </row>
    <row r="13" customFormat="false" ht="15" hidden="false" customHeight="false" outlineLevel="0" collapsed="false">
      <c r="A13" s="4" t="s">
        <v>113</v>
      </c>
      <c r="B13" s="24" t="n">
        <f aca="false">Assumptions!$B$36*Assumptions!$B$38</f>
        <v>71250000</v>
      </c>
      <c r="C13" s="24" t="n">
        <f aca="false">B13*(1+Assumptions!$B$11)</f>
        <v>74812500</v>
      </c>
      <c r="D13" s="24" t="n">
        <f aca="false">C13*(1+Assumptions!$B$11)</f>
        <v>78553125</v>
      </c>
      <c r="E13" s="24" t="n">
        <f aca="false">D13*(1+Assumptions!$B$11)</f>
        <v>82480781.25</v>
      </c>
      <c r="F13" s="24" t="n">
        <f aca="false">E13*(1+Assumptions!$B$11)</f>
        <v>86604820.3125</v>
      </c>
      <c r="G13" s="24" t="n">
        <f aca="false">F13*(1+Assumptions!$B$11)</f>
        <v>90935061.328125</v>
      </c>
      <c r="H13" s="24" t="n">
        <f aca="false">G13*(1+Assumptions!$B$11)</f>
        <v>95481814.3945313</v>
      </c>
      <c r="I13" s="24" t="n">
        <f aca="false">H13*(1+Assumptions!$B$11)</f>
        <v>100255905.114258</v>
      </c>
      <c r="J13" s="24" t="n">
        <f aca="false">I13*(1+Assumptions!$B$11)</f>
        <v>105268700.369971</v>
      </c>
      <c r="K13" s="24" t="n">
        <f aca="false">J13*(1+Assumptions!$B$11)</f>
        <v>110532135.388469</v>
      </c>
    </row>
    <row r="14" customFormat="false" ht="15" hidden="false" customHeight="false" outlineLevel="0" collapsed="false">
      <c r="A14" s="4" t="s">
        <v>114</v>
      </c>
      <c r="B14" s="24" t="n">
        <f aca="false">Assumptions!$B$37*Assumptions!$B$38</f>
        <v>81000000</v>
      </c>
      <c r="C14" s="24" t="n">
        <f aca="false">B14*(1+Assumptions!$B$11)</f>
        <v>85050000</v>
      </c>
      <c r="D14" s="24" t="n">
        <f aca="false">C14*(1+Assumptions!$B$11)</f>
        <v>89302500</v>
      </c>
      <c r="E14" s="24" t="n">
        <f aca="false">D14*(1+Assumptions!$B$11)</f>
        <v>93767625</v>
      </c>
      <c r="F14" s="24" t="n">
        <f aca="false">E14*(1+Assumptions!$B$11)</f>
        <v>98456006.25</v>
      </c>
      <c r="G14" s="24" t="n">
        <f aca="false">F14*(1+Assumptions!$B$11)</f>
        <v>103378806.5625</v>
      </c>
      <c r="H14" s="24" t="n">
        <f aca="false">G14*(1+Assumptions!$B$11)</f>
        <v>108547746.890625</v>
      </c>
      <c r="I14" s="24" t="n">
        <f aca="false">H14*(1+Assumptions!$B$11)</f>
        <v>113975134.235156</v>
      </c>
      <c r="J14" s="24" t="n">
        <f aca="false">I14*(1+Assumptions!$B$11)</f>
        <v>119673890.946914</v>
      </c>
      <c r="K14" s="24" t="n">
        <f aca="false">J14*(1+Assumptions!$B$11)</f>
        <v>125657585.49426</v>
      </c>
    </row>
    <row r="15" customFormat="false" ht="15" hidden="false" customHeight="false" outlineLevel="0" collapsed="false">
      <c r="A15" s="6" t="s">
        <v>115</v>
      </c>
      <c r="B15" s="29" t="n">
        <f aca="false">B9*B12+B10*B13+B11*B14</f>
        <v>1353712500</v>
      </c>
      <c r="C15" s="29" t="n">
        <f aca="false">C9*C12+C10*C13+C11*C14</f>
        <v>2343276337.5</v>
      </c>
      <c r="D15" s="29" t="n">
        <f aca="false">D9*D12+D10*D13+D11*D14</f>
        <v>3218255721.9225</v>
      </c>
      <c r="E15" s="29" t="n">
        <f aca="false">E9*E12+E10*E13+E11*E14</f>
        <v>4419952408.48836</v>
      </c>
      <c r="F15" s="29" t="n">
        <f aca="false">F9*F12+F10*F13+F11*F14</f>
        <v>6070362637.81792</v>
      </c>
      <c r="G15" s="29" t="n">
        <f aca="false">G9*G12+G10*G13+G11*G14</f>
        <v>8337036046.77913</v>
      </c>
      <c r="H15" s="29" t="n">
        <f aca="false">H9*H12+H10*H13+H11*H14</f>
        <v>11439985803.1262</v>
      </c>
      <c r="I15" s="29" t="n">
        <f aca="false">I9*I12+I10*I13+I11*I14</f>
        <v>13605781649.3218</v>
      </c>
      <c r="J15" s="29" t="n">
        <f aca="false">J9*J12+J10*J13+J11*J14</f>
        <v>14286070731.7879</v>
      </c>
      <c r="K15" s="29" t="n">
        <f aca="false">K9*K12+K10*K13+K11*K14</f>
        <v>15000374268.3773</v>
      </c>
    </row>
    <row r="16" customFormat="false" ht="15" hidden="false" customHeight="false" outlineLevel="0" collapsed="false">
      <c r="A16" s="4" t="s">
        <v>116</v>
      </c>
      <c r="B16" s="24" t="n">
        <f aca="false">Assumptions!$B$31</f>
        <v>4000000</v>
      </c>
      <c r="C16" s="24" t="n">
        <f aca="false">B16*(1+Assumptions!$B$11)</f>
        <v>4200000</v>
      </c>
      <c r="D16" s="24" t="n">
        <f aca="false">C16*(1+Assumptions!$B$11)</f>
        <v>4410000</v>
      </c>
      <c r="E16" s="24" t="n">
        <f aca="false">D16*(1+Assumptions!$B$11)</f>
        <v>4630500</v>
      </c>
      <c r="F16" s="24" t="n">
        <f aca="false">E16*(1+Assumptions!$B$11)</f>
        <v>4862025</v>
      </c>
      <c r="G16" s="24" t="n">
        <f aca="false">F16*(1+Assumptions!$B$11)</f>
        <v>5105126.25</v>
      </c>
      <c r="H16" s="24" t="n">
        <f aca="false">G16*(1+Assumptions!$B$11)</f>
        <v>5360382.5625</v>
      </c>
      <c r="I16" s="24" t="n">
        <f aca="false">H16*(1+Assumptions!$B$11)</f>
        <v>5628401.690625</v>
      </c>
      <c r="J16" s="24" t="n">
        <f aca="false">I16*(1+Assumptions!$B$11)</f>
        <v>5909821.77515625</v>
      </c>
      <c r="K16" s="24" t="n">
        <f aca="false">J16*(1+Assumptions!$B$11)</f>
        <v>6205312.86391406</v>
      </c>
    </row>
    <row r="17" customFormat="false" ht="15" hidden="false" customHeight="false" outlineLevel="0" collapsed="false">
      <c r="A17" s="6" t="s">
        <v>117</v>
      </c>
      <c r="B17" s="29" t="n">
        <f aca="false">B6*B16</f>
        <v>84000000</v>
      </c>
      <c r="C17" s="29" t="n">
        <f aca="false">C6*C16</f>
        <v>145404000</v>
      </c>
      <c r="D17" s="29" t="n">
        <f aca="false">D6*D16</f>
        <v>199697853.6</v>
      </c>
      <c r="E17" s="29" t="n">
        <f aca="false">E6*E16</f>
        <v>274265032.13424</v>
      </c>
      <c r="F17" s="29" t="n">
        <f aca="false">F6*F16</f>
        <v>376675595.133165</v>
      </c>
      <c r="G17" s="29" t="n">
        <f aca="false">G6*G16</f>
        <v>517326262.355889</v>
      </c>
      <c r="H17" s="29" t="n">
        <f aca="false">H6*H16</f>
        <v>709869198.565134</v>
      </c>
      <c r="I17" s="29" t="n">
        <f aca="false">I6*I16</f>
        <v>844260253.59375</v>
      </c>
      <c r="J17" s="29" t="n">
        <f aca="false">J6*J16</f>
        <v>886473266.273438</v>
      </c>
      <c r="K17" s="29" t="n">
        <f aca="false">K6*K16</f>
        <v>930796929.587109</v>
      </c>
    </row>
    <row r="18" customFormat="false" ht="15" hidden="false" customHeight="false" outlineLevel="0" collapsed="false">
      <c r="A18" s="4" t="s">
        <v>118</v>
      </c>
      <c r="B18" s="24" t="n">
        <f aca="false">Assumptions!$B$32</f>
        <v>2000000</v>
      </c>
      <c r="C18" s="24" t="n">
        <f aca="false">B18*(1+Assumptions!$B$11)</f>
        <v>2100000</v>
      </c>
      <c r="D18" s="24" t="n">
        <f aca="false">C18*(1+Assumptions!$B$11)</f>
        <v>2205000</v>
      </c>
      <c r="E18" s="24" t="n">
        <f aca="false">D18*(1+Assumptions!$B$11)</f>
        <v>2315250</v>
      </c>
      <c r="F18" s="24" t="n">
        <f aca="false">E18*(1+Assumptions!$B$11)</f>
        <v>2431012.5</v>
      </c>
      <c r="G18" s="24" t="n">
        <f aca="false">F18*(1+Assumptions!$B$11)</f>
        <v>2552563.125</v>
      </c>
      <c r="H18" s="24" t="n">
        <f aca="false">G18*(1+Assumptions!$B$11)</f>
        <v>2680191.28125</v>
      </c>
      <c r="I18" s="24" t="n">
        <f aca="false">H18*(1+Assumptions!$B$11)</f>
        <v>2814200.8453125</v>
      </c>
      <c r="J18" s="24" t="n">
        <f aca="false">I18*(1+Assumptions!$B$11)</f>
        <v>2954910.88757813</v>
      </c>
      <c r="K18" s="24" t="n">
        <f aca="false">J18*(1+Assumptions!$B$11)</f>
        <v>3102656.43195703</v>
      </c>
    </row>
    <row r="19" customFormat="false" ht="15" hidden="false" customHeight="false" outlineLevel="0" collapsed="false">
      <c r="A19" s="6" t="s">
        <v>119</v>
      </c>
      <c r="B19" s="29" t="n">
        <f aca="false">B6*B18</f>
        <v>42000000</v>
      </c>
      <c r="C19" s="29" t="n">
        <f aca="false">C6*C18</f>
        <v>72702000</v>
      </c>
      <c r="D19" s="29" t="n">
        <f aca="false">D6*D18</f>
        <v>99848926.8</v>
      </c>
      <c r="E19" s="29" t="n">
        <f aca="false">E6*E18</f>
        <v>137132516.06712</v>
      </c>
      <c r="F19" s="29" t="n">
        <f aca="false">F6*F18</f>
        <v>188337797.566583</v>
      </c>
      <c r="G19" s="29" t="n">
        <f aca="false">G6*G18</f>
        <v>258663131.177945</v>
      </c>
      <c r="H19" s="29" t="n">
        <f aca="false">H6*H18</f>
        <v>354934599.282567</v>
      </c>
      <c r="I19" s="29" t="n">
        <f aca="false">I6*I18</f>
        <v>422130126.796875</v>
      </c>
      <c r="J19" s="29" t="n">
        <f aca="false">J6*J18</f>
        <v>443236633.136719</v>
      </c>
      <c r="K19" s="29" t="n">
        <f aca="false">K6*K18</f>
        <v>465398464.793555</v>
      </c>
    </row>
    <row r="20" customFormat="false" ht="15" hidden="false" customHeight="false" outlineLevel="0" collapsed="false">
      <c r="A20" s="10" t="s">
        <v>120</v>
      </c>
      <c r="B20" s="11" t="n">
        <f aca="false">B15+B17+B19</f>
        <v>1479712500</v>
      </c>
      <c r="C20" s="11" t="n">
        <f aca="false">C15+C17+C19</f>
        <v>2561382337.5</v>
      </c>
      <c r="D20" s="11" t="n">
        <f aca="false">D15+D17+D19</f>
        <v>3517802502.3225</v>
      </c>
      <c r="E20" s="11" t="n">
        <f aca="false">E15+E17+E19</f>
        <v>4831349956.68972</v>
      </c>
      <c r="F20" s="11" t="n">
        <f aca="false">F15+F17+F19</f>
        <v>6635376030.51766</v>
      </c>
      <c r="G20" s="11" t="n">
        <f aca="false">G15+G17+G19</f>
        <v>9113025440.31296</v>
      </c>
      <c r="H20" s="11" t="n">
        <f aca="false">H15+H17+H19</f>
        <v>12504789600.9739</v>
      </c>
      <c r="I20" s="11" t="n">
        <f aca="false">I15+I17+I19</f>
        <v>14872172029.7124</v>
      </c>
      <c r="J20" s="11" t="n">
        <f aca="false">J15+J17+J19</f>
        <v>15615780631.198</v>
      </c>
      <c r="K20" s="11" t="n">
        <f aca="false">K15+K17+K19</f>
        <v>16396569662.7579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1" min="2" style="0" width="16"/>
  </cols>
  <sheetData>
    <row r="1" customFormat="false" ht="25.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6" t="s">
        <v>122</v>
      </c>
    </row>
    <row r="3" customFormat="false" ht="15" hidden="false" customHeight="false" outlineLevel="0" collapsed="false">
      <c r="A3" s="3" t="s">
        <v>123</v>
      </c>
      <c r="B3" s="3" t="str">
        <f aca="false">"Year "&amp;1&amp;" ("&amp;(Assumptions!$B$8+0)&amp;")"</f>
        <v>Year 1 (2026)</v>
      </c>
      <c r="C3" s="3" t="str">
        <f aca="false">"Year "&amp;2&amp;" ("&amp;(Assumptions!$B$8+1)&amp;")"</f>
        <v>Year 2 (2027)</v>
      </c>
      <c r="D3" s="3" t="str">
        <f aca="false">"Year "&amp;3&amp;" ("&amp;(Assumptions!$B$8+2)&amp;")"</f>
        <v>Year 3 (2028)</v>
      </c>
      <c r="E3" s="3" t="str">
        <f aca="false">"Year "&amp;4&amp;" ("&amp;(Assumptions!$B$8+3)&amp;")"</f>
        <v>Year 4 (2029)</v>
      </c>
      <c r="F3" s="3" t="str">
        <f aca="false">"Year "&amp;5&amp;" ("&amp;(Assumptions!$B$8+4)&amp;")"</f>
        <v>Year 5 (2030)</v>
      </c>
      <c r="G3" s="3" t="str">
        <f aca="false">"Year "&amp;6&amp;" ("&amp;(Assumptions!$B$8+5)&amp;")"</f>
        <v>Year 6 (2031)</v>
      </c>
      <c r="H3" s="3" t="str">
        <f aca="false">"Year "&amp;7&amp;" ("&amp;(Assumptions!$B$8+6)&amp;")"</f>
        <v>Year 7 (2032)</v>
      </c>
      <c r="I3" s="3" t="str">
        <f aca="false">"Year "&amp;8&amp;" ("&amp;(Assumptions!$B$8+7)&amp;")"</f>
        <v>Year 8 (2033)</v>
      </c>
      <c r="J3" s="3" t="str">
        <f aca="false">"Year "&amp;9&amp;" ("&amp;(Assumptions!$B$8+8)&amp;")"</f>
        <v>Year 9 (2034)</v>
      </c>
      <c r="K3" s="3" t="str">
        <f aca="false">"Year "&amp;10&amp;" ("&amp;(Assumptions!$B$8+9)&amp;")"</f>
        <v>Year 10 (2035)</v>
      </c>
    </row>
    <row r="4" customFormat="false" ht="15" hidden="false" customHeight="false" outlineLevel="0" collapsed="false">
      <c r="A4" s="12" t="s">
        <v>124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customFormat="false" ht="15" hidden="false" customHeight="false" outlineLevel="0" collapsed="false">
      <c r="A5" s="13" t="s">
        <v>125</v>
      </c>
      <c r="B5" s="30" t="n">
        <f aca="false">'Enrollment &amp; Revenue'!B15</f>
        <v>1353712500</v>
      </c>
      <c r="C5" s="30" t="n">
        <f aca="false">'Enrollment &amp; Revenue'!C15</f>
        <v>2343276337.5</v>
      </c>
      <c r="D5" s="30" t="n">
        <f aca="false">'Enrollment &amp; Revenue'!D15</f>
        <v>3218255721.9225</v>
      </c>
      <c r="E5" s="30" t="n">
        <f aca="false">'Enrollment &amp; Revenue'!E15</f>
        <v>4419952408.48836</v>
      </c>
      <c r="F5" s="30" t="n">
        <f aca="false">'Enrollment &amp; Revenue'!F15</f>
        <v>6070362637.81792</v>
      </c>
      <c r="G5" s="30" t="n">
        <f aca="false">'Enrollment &amp; Revenue'!G15</f>
        <v>8337036046.77913</v>
      </c>
      <c r="H5" s="30" t="n">
        <f aca="false">'Enrollment &amp; Revenue'!H15</f>
        <v>11439985803.1262</v>
      </c>
      <c r="I5" s="30" t="n">
        <f aca="false">'Enrollment &amp; Revenue'!I15</f>
        <v>13605781649.3218</v>
      </c>
      <c r="J5" s="30" t="n">
        <f aca="false">'Enrollment &amp; Revenue'!J15</f>
        <v>14286070731.7879</v>
      </c>
      <c r="K5" s="30" t="n">
        <f aca="false">'Enrollment &amp; Revenue'!K15</f>
        <v>15000374268.3773</v>
      </c>
    </row>
    <row r="6" customFormat="false" ht="15" hidden="false" customHeight="false" outlineLevel="0" collapsed="false">
      <c r="A6" s="13" t="s">
        <v>126</v>
      </c>
      <c r="B6" s="30" t="n">
        <f aca="false">'Enrollment &amp; Revenue'!B17</f>
        <v>84000000</v>
      </c>
      <c r="C6" s="30" t="n">
        <f aca="false">'Enrollment &amp; Revenue'!C17</f>
        <v>145404000</v>
      </c>
      <c r="D6" s="30" t="n">
        <f aca="false">'Enrollment &amp; Revenue'!D17</f>
        <v>199697853.6</v>
      </c>
      <c r="E6" s="30" t="n">
        <f aca="false">'Enrollment &amp; Revenue'!E17</f>
        <v>274265032.13424</v>
      </c>
      <c r="F6" s="30" t="n">
        <f aca="false">'Enrollment &amp; Revenue'!F17</f>
        <v>376675595.133165</v>
      </c>
      <c r="G6" s="30" t="n">
        <f aca="false">'Enrollment &amp; Revenue'!G17</f>
        <v>517326262.355889</v>
      </c>
      <c r="H6" s="30" t="n">
        <f aca="false">'Enrollment &amp; Revenue'!H17</f>
        <v>709869198.565134</v>
      </c>
      <c r="I6" s="30" t="n">
        <f aca="false">'Enrollment &amp; Revenue'!I17</f>
        <v>844260253.59375</v>
      </c>
      <c r="J6" s="30" t="n">
        <f aca="false">'Enrollment &amp; Revenue'!J17</f>
        <v>886473266.273438</v>
      </c>
      <c r="K6" s="30" t="n">
        <f aca="false">'Enrollment &amp; Revenue'!K17</f>
        <v>930796929.587109</v>
      </c>
    </row>
    <row r="7" customFormat="false" ht="15" hidden="false" customHeight="false" outlineLevel="0" collapsed="false">
      <c r="A7" s="13" t="s">
        <v>127</v>
      </c>
      <c r="B7" s="30" t="n">
        <f aca="false">'Enrollment &amp; Revenue'!B19</f>
        <v>42000000</v>
      </c>
      <c r="C7" s="30" t="n">
        <f aca="false">'Enrollment &amp; Revenue'!C19</f>
        <v>72702000</v>
      </c>
      <c r="D7" s="30" t="n">
        <f aca="false">'Enrollment &amp; Revenue'!D19</f>
        <v>99848926.8</v>
      </c>
      <c r="E7" s="30" t="n">
        <f aca="false">'Enrollment &amp; Revenue'!E19</f>
        <v>137132516.06712</v>
      </c>
      <c r="F7" s="30" t="n">
        <f aca="false">'Enrollment &amp; Revenue'!F19</f>
        <v>188337797.566583</v>
      </c>
      <c r="G7" s="30" t="n">
        <f aca="false">'Enrollment &amp; Revenue'!G19</f>
        <v>258663131.177945</v>
      </c>
      <c r="H7" s="30" t="n">
        <f aca="false">'Enrollment &amp; Revenue'!H19</f>
        <v>354934599.282567</v>
      </c>
      <c r="I7" s="30" t="n">
        <f aca="false">'Enrollment &amp; Revenue'!I19</f>
        <v>422130126.796875</v>
      </c>
      <c r="J7" s="30" t="n">
        <f aca="false">'Enrollment &amp; Revenue'!J19</f>
        <v>443236633.136719</v>
      </c>
      <c r="K7" s="30" t="n">
        <f aca="false">'Enrollment &amp; Revenue'!K19</f>
        <v>465398464.793555</v>
      </c>
    </row>
    <row r="8" customFormat="false" ht="15" hidden="false" customHeight="false" outlineLevel="0" collapsed="false">
      <c r="A8" s="20" t="s">
        <v>5</v>
      </c>
      <c r="B8" s="21" t="n">
        <f aca="false">B5+B6+B7</f>
        <v>1479712500</v>
      </c>
      <c r="C8" s="21" t="n">
        <f aca="false">C5+C6+C7</f>
        <v>2561382337.5</v>
      </c>
      <c r="D8" s="21" t="n">
        <f aca="false">D5+D6+D7</f>
        <v>3517802502.3225</v>
      </c>
      <c r="E8" s="21" t="n">
        <f aca="false">E5+E6+E7</f>
        <v>4831349956.68972</v>
      </c>
      <c r="F8" s="21" t="n">
        <f aca="false">F5+F6+F7</f>
        <v>6635376030.51766</v>
      </c>
      <c r="G8" s="21" t="n">
        <f aca="false">G5+G6+G7</f>
        <v>9113025440.31296</v>
      </c>
      <c r="H8" s="21" t="n">
        <f aca="false">H5+H6+H7</f>
        <v>12504789600.9739</v>
      </c>
      <c r="I8" s="21" t="n">
        <f aca="false">I5+I6+I7</f>
        <v>14872172029.7124</v>
      </c>
      <c r="J8" s="21" t="n">
        <f aca="false">J5+J6+J7</f>
        <v>15615780631.198</v>
      </c>
      <c r="K8" s="21" t="n">
        <f aca="false">K5+K6+K7</f>
        <v>16396569662.7579</v>
      </c>
    </row>
    <row r="10" customFormat="false" ht="15" hidden="false" customHeight="false" outlineLevel="0" collapsed="false">
      <c r="A10" s="12" t="s">
        <v>128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customFormat="false" ht="15" hidden="false" customHeight="false" outlineLevel="0" collapsed="false">
      <c r="A11" s="13" t="s">
        <v>129</v>
      </c>
      <c r="B11" s="30" t="n">
        <f aca="false">Staffing!G$9</f>
        <v>1467000000</v>
      </c>
      <c r="C11" s="30" t="n">
        <f aca="false">Staffing!H$9</f>
        <v>1555020000</v>
      </c>
      <c r="D11" s="30" t="n">
        <f aca="false">Staffing!I$9</f>
        <v>1648321200</v>
      </c>
      <c r="E11" s="30" t="n">
        <f aca="false">Staffing!J$9</f>
        <v>1747220472</v>
      </c>
      <c r="F11" s="30" t="n">
        <f aca="false">Staffing!K$9</f>
        <v>1852053700.32</v>
      </c>
      <c r="G11" s="30" t="n">
        <f aca="false">Staffing!L$9</f>
        <v>1963176922.3392</v>
      </c>
      <c r="H11" s="30" t="n">
        <f aca="false">Staffing!M$9</f>
        <v>2080967537.67955</v>
      </c>
      <c r="I11" s="30" t="n">
        <f aca="false">Staffing!N$9</f>
        <v>2205825589.94033</v>
      </c>
      <c r="J11" s="30" t="n">
        <f aca="false">Staffing!O$9</f>
        <v>2338175125.33675</v>
      </c>
      <c r="K11" s="30" t="n">
        <f aca="false">Staffing!P$9</f>
        <v>2478465632.85695</v>
      </c>
    </row>
    <row r="12" customFormat="false" ht="15" hidden="false" customHeight="false" outlineLevel="0" collapsed="false">
      <c r="A12" s="13" t="s">
        <v>130</v>
      </c>
      <c r="B12" s="31" t="n">
        <f aca="false">Assumptions!$B$45*12</f>
        <v>480000000</v>
      </c>
      <c r="C12" s="31" t="n">
        <f aca="false">B12*(1+Assumptions!$B$10)</f>
        <v>508800000</v>
      </c>
      <c r="D12" s="31" t="n">
        <f aca="false">C12*(1+Assumptions!$B$10)</f>
        <v>539328000</v>
      </c>
      <c r="E12" s="31" t="n">
        <f aca="false">D12*(1+Assumptions!$B$10)</f>
        <v>571687680</v>
      </c>
      <c r="F12" s="31" t="n">
        <f aca="false">E12*(1+Assumptions!$B$10)</f>
        <v>605988940.8</v>
      </c>
      <c r="G12" s="31" t="n">
        <f aca="false">F12*(1+Assumptions!$B$10)</f>
        <v>642348277.248</v>
      </c>
      <c r="H12" s="31" t="n">
        <f aca="false">G12*(1+Assumptions!$B$10)</f>
        <v>680889173.88288</v>
      </c>
      <c r="I12" s="31" t="n">
        <f aca="false">H12*(1+Assumptions!$B$10)</f>
        <v>721742524.315853</v>
      </c>
      <c r="J12" s="31" t="n">
        <f aca="false">I12*(1+Assumptions!$B$10)</f>
        <v>765047075.774804</v>
      </c>
      <c r="K12" s="31" t="n">
        <f aca="false">J12*(1+Assumptions!$B$10)</f>
        <v>810949900.321293</v>
      </c>
    </row>
    <row r="13" customFormat="false" ht="15" hidden="false" customHeight="false" outlineLevel="0" collapsed="false">
      <c r="A13" s="13" t="s">
        <v>131</v>
      </c>
      <c r="B13" s="31" t="n">
        <f aca="false">Assumptions!$B$46*12</f>
        <v>72000000</v>
      </c>
      <c r="C13" s="31" t="n">
        <f aca="false">B13*(1+Assumptions!$B$10)</f>
        <v>76320000</v>
      </c>
      <c r="D13" s="31" t="n">
        <f aca="false">C13*(1+Assumptions!$B$10)</f>
        <v>80899200</v>
      </c>
      <c r="E13" s="31" t="n">
        <f aca="false">D13*(1+Assumptions!$B$10)</f>
        <v>85753152</v>
      </c>
      <c r="F13" s="31" t="n">
        <f aca="false">E13*(1+Assumptions!$B$10)</f>
        <v>90898341.12</v>
      </c>
      <c r="G13" s="31" t="n">
        <f aca="false">F13*(1+Assumptions!$B$10)</f>
        <v>96352241.5872</v>
      </c>
      <c r="H13" s="31" t="n">
        <f aca="false">G13*(1+Assumptions!$B$10)</f>
        <v>102133376.082432</v>
      </c>
      <c r="I13" s="31" t="n">
        <f aca="false">H13*(1+Assumptions!$B$10)</f>
        <v>108261378.647378</v>
      </c>
      <c r="J13" s="31" t="n">
        <f aca="false">I13*(1+Assumptions!$B$10)</f>
        <v>114757061.366221</v>
      </c>
      <c r="K13" s="31" t="n">
        <f aca="false">J13*(1+Assumptions!$B$10)</f>
        <v>121642485.048194</v>
      </c>
    </row>
    <row r="14" customFormat="false" ht="15" hidden="false" customHeight="false" outlineLevel="0" collapsed="false">
      <c r="A14" s="13" t="s">
        <v>132</v>
      </c>
      <c r="B14" s="31" t="n">
        <f aca="false">Assumptions!$B$47*12</f>
        <v>60000000</v>
      </c>
      <c r="C14" s="31" t="n">
        <f aca="false">B14*(1+Assumptions!$B$10)</f>
        <v>63600000</v>
      </c>
      <c r="D14" s="31" t="n">
        <f aca="false">C14*(1+Assumptions!$B$10)</f>
        <v>67416000</v>
      </c>
      <c r="E14" s="31" t="n">
        <f aca="false">D14*(1+Assumptions!$B$10)</f>
        <v>71460960</v>
      </c>
      <c r="F14" s="31" t="n">
        <f aca="false">E14*(1+Assumptions!$B$10)</f>
        <v>75748617.6</v>
      </c>
      <c r="G14" s="31" t="n">
        <f aca="false">F14*(1+Assumptions!$B$10)</f>
        <v>80293534.656</v>
      </c>
      <c r="H14" s="31" t="n">
        <f aca="false">G14*(1+Assumptions!$B$10)</f>
        <v>85111146.73536</v>
      </c>
      <c r="I14" s="31" t="n">
        <f aca="false">H14*(1+Assumptions!$B$10)</f>
        <v>90217815.5394816</v>
      </c>
      <c r="J14" s="31" t="n">
        <f aca="false">I14*(1+Assumptions!$B$10)</f>
        <v>95630884.4718505</v>
      </c>
      <c r="K14" s="31" t="n">
        <f aca="false">J14*(1+Assumptions!$B$10)</f>
        <v>101368737.540162</v>
      </c>
    </row>
    <row r="15" customFormat="false" ht="15" hidden="false" customHeight="false" outlineLevel="0" collapsed="false">
      <c r="A15" s="13" t="s">
        <v>133</v>
      </c>
      <c r="B15" s="31" t="n">
        <f aca="false">Assumptions!$B$48*12</f>
        <v>48000000</v>
      </c>
      <c r="C15" s="31" t="n">
        <f aca="false">B15*(1+Assumptions!$B$10)</f>
        <v>50880000</v>
      </c>
      <c r="D15" s="31" t="n">
        <f aca="false">C15*(1+Assumptions!$B$10)</f>
        <v>53932800</v>
      </c>
      <c r="E15" s="31" t="n">
        <f aca="false">D15*(1+Assumptions!$B$10)</f>
        <v>57168768</v>
      </c>
      <c r="F15" s="31" t="n">
        <f aca="false">E15*(1+Assumptions!$B$10)</f>
        <v>60598894.08</v>
      </c>
      <c r="G15" s="31" t="n">
        <f aca="false">F15*(1+Assumptions!$B$10)</f>
        <v>64234827.7248</v>
      </c>
      <c r="H15" s="31" t="n">
        <f aca="false">G15*(1+Assumptions!$B$10)</f>
        <v>68088917.388288</v>
      </c>
      <c r="I15" s="31" t="n">
        <f aca="false">H15*(1+Assumptions!$B$10)</f>
        <v>72174252.4315853</v>
      </c>
      <c r="J15" s="31" t="n">
        <f aca="false">I15*(1+Assumptions!$B$10)</f>
        <v>76504707.5774804</v>
      </c>
      <c r="K15" s="31" t="n">
        <f aca="false">J15*(1+Assumptions!$B$10)</f>
        <v>81094990.0321292</v>
      </c>
    </row>
    <row r="16" customFormat="false" ht="15" hidden="false" customHeight="false" outlineLevel="0" collapsed="false">
      <c r="A16" s="13" t="s">
        <v>134</v>
      </c>
      <c r="B16" s="31" t="n">
        <f aca="false">Assumptions!$B$49*12</f>
        <v>36000000</v>
      </c>
      <c r="C16" s="31" t="n">
        <f aca="false">B16*(1+Assumptions!$B$10)</f>
        <v>38160000</v>
      </c>
      <c r="D16" s="31" t="n">
        <f aca="false">C16*(1+Assumptions!$B$10)</f>
        <v>40449600</v>
      </c>
      <c r="E16" s="31" t="n">
        <f aca="false">D16*(1+Assumptions!$B$10)</f>
        <v>42876576</v>
      </c>
      <c r="F16" s="31" t="n">
        <f aca="false">E16*(1+Assumptions!$B$10)</f>
        <v>45449170.56</v>
      </c>
      <c r="G16" s="31" t="n">
        <f aca="false">F16*(1+Assumptions!$B$10)</f>
        <v>48176120.7936</v>
      </c>
      <c r="H16" s="31" t="n">
        <f aca="false">G16*(1+Assumptions!$B$10)</f>
        <v>51066688.041216</v>
      </c>
      <c r="I16" s="31" t="n">
        <f aca="false">H16*(1+Assumptions!$B$10)</f>
        <v>54130689.323689</v>
      </c>
      <c r="J16" s="31" t="n">
        <f aca="false">I16*(1+Assumptions!$B$10)</f>
        <v>57378530.6831103</v>
      </c>
      <c r="K16" s="31" t="n">
        <f aca="false">J16*(1+Assumptions!$B$10)</f>
        <v>60821242.5240969</v>
      </c>
    </row>
    <row r="17" customFormat="false" ht="15" hidden="false" customHeight="false" outlineLevel="0" collapsed="false">
      <c r="A17" s="13" t="s">
        <v>135</v>
      </c>
      <c r="B17" s="31" t="n">
        <f aca="false">Assumptions!$B$50*12</f>
        <v>36000000</v>
      </c>
      <c r="C17" s="31" t="n">
        <f aca="false">B17*(1+Assumptions!$B$10)</f>
        <v>38160000</v>
      </c>
      <c r="D17" s="31" t="n">
        <f aca="false">C17*(1+Assumptions!$B$10)</f>
        <v>40449600</v>
      </c>
      <c r="E17" s="31" t="n">
        <f aca="false">D17*(1+Assumptions!$B$10)</f>
        <v>42876576</v>
      </c>
      <c r="F17" s="31" t="n">
        <f aca="false">E17*(1+Assumptions!$B$10)</f>
        <v>45449170.56</v>
      </c>
      <c r="G17" s="31" t="n">
        <f aca="false">F17*(1+Assumptions!$B$10)</f>
        <v>48176120.7936</v>
      </c>
      <c r="H17" s="31" t="n">
        <f aca="false">G17*(1+Assumptions!$B$10)</f>
        <v>51066688.041216</v>
      </c>
      <c r="I17" s="31" t="n">
        <f aca="false">H17*(1+Assumptions!$B$10)</f>
        <v>54130689.323689</v>
      </c>
      <c r="J17" s="31" t="n">
        <f aca="false">I17*(1+Assumptions!$B$10)</f>
        <v>57378530.6831103</v>
      </c>
      <c r="K17" s="31" t="n">
        <f aca="false">J17*(1+Assumptions!$B$10)</f>
        <v>60821242.5240969</v>
      </c>
    </row>
    <row r="18" customFormat="false" ht="15" hidden="false" customHeight="false" outlineLevel="0" collapsed="false">
      <c r="A18" s="13" t="s">
        <v>136</v>
      </c>
      <c r="B18" s="31" t="n">
        <f aca="false">IF(1&lt;=Assumptions!$B$58,Assumptions!$B$59,0)</f>
        <v>130000000</v>
      </c>
      <c r="C18" s="31" t="n">
        <f aca="false">IF(2&lt;=Assumptions!$B$58,Assumptions!$B$59,0)</f>
        <v>130000000</v>
      </c>
      <c r="D18" s="31" t="n">
        <f aca="false">IF(3&lt;=Assumptions!$B$58,Assumptions!$B$59,0)</f>
        <v>130000000</v>
      </c>
      <c r="E18" s="31" t="n">
        <f aca="false">IF(4&lt;=Assumptions!$B$58,Assumptions!$B$59,0)</f>
        <v>130000000</v>
      </c>
      <c r="F18" s="31" t="n">
        <f aca="false">IF(5&lt;=Assumptions!$B$58,Assumptions!$B$59,0)</f>
        <v>130000000</v>
      </c>
      <c r="G18" s="31" t="n">
        <f aca="false">IF(6&lt;=Assumptions!$B$58,Assumptions!$B$59,0)</f>
        <v>0</v>
      </c>
      <c r="H18" s="31" t="n">
        <f aca="false">IF(7&lt;=Assumptions!$B$58,Assumptions!$B$59,0)</f>
        <v>0</v>
      </c>
      <c r="I18" s="31" t="n">
        <f aca="false">IF(8&lt;=Assumptions!$B$58,Assumptions!$B$59,0)</f>
        <v>0</v>
      </c>
      <c r="J18" s="31" t="n">
        <f aca="false">IF(9&lt;=Assumptions!$B$58,Assumptions!$B$59,0)</f>
        <v>0</v>
      </c>
      <c r="K18" s="31" t="n">
        <f aca="false">IF(10&lt;=Assumptions!$B$58,Assumptions!$B$59,0)</f>
        <v>0</v>
      </c>
    </row>
    <row r="19" customFormat="false" ht="15" hidden="false" customHeight="false" outlineLevel="0" collapsed="false">
      <c r="A19" s="20" t="s">
        <v>6</v>
      </c>
      <c r="B19" s="21" t="n">
        <f aca="false">B11+B12+B13+B14+B15+B16+B17+B18</f>
        <v>2329000000</v>
      </c>
      <c r="C19" s="21" t="n">
        <f aca="false">C11+C12+C13+C14+C15+C16+C17+C18</f>
        <v>2460940000</v>
      </c>
      <c r="D19" s="21" t="n">
        <f aca="false">D11+D12+D13+D14+D15+D16+D17+D18</f>
        <v>2600796400</v>
      </c>
      <c r="E19" s="21" t="n">
        <f aca="false">E11+E12+E13+E14+E15+E16+E17+E18</f>
        <v>2749044184</v>
      </c>
      <c r="F19" s="21" t="n">
        <f aca="false">F11+F12+F13+F14+F15+F16+F17+F18</f>
        <v>2906186835.04</v>
      </c>
      <c r="G19" s="21" t="n">
        <f aca="false">G11+G12+G13+G14+G15+G16+G17+G18</f>
        <v>2942758045.1424</v>
      </c>
      <c r="H19" s="21" t="n">
        <f aca="false">H11+H12+H13+H14+H15+H16+H17+H18</f>
        <v>3119323527.85095</v>
      </c>
      <c r="I19" s="21" t="n">
        <f aca="false">I11+I12+I13+I14+I15+I16+I17+I18</f>
        <v>3306482939.522</v>
      </c>
      <c r="J19" s="21" t="n">
        <f aca="false">J11+J12+J13+J14+J15+J16+J17+J18</f>
        <v>3504871915.89332</v>
      </c>
      <c r="K19" s="21" t="n">
        <f aca="false">K11+K12+K13+K14+K15+K16+K17+K18</f>
        <v>3715164230.84692</v>
      </c>
    </row>
    <row r="21" customFormat="false" ht="15" hidden="false" customHeight="false" outlineLevel="0" collapsed="false">
      <c r="A21" s="20" t="s">
        <v>137</v>
      </c>
      <c r="B21" s="21" t="n">
        <f aca="false">B8-B19</f>
        <v>-849287500</v>
      </c>
      <c r="C21" s="21" t="n">
        <f aca="false">C8-C19</f>
        <v>100442337.5</v>
      </c>
      <c r="D21" s="21" t="n">
        <f aca="false">D8-D19</f>
        <v>917006102.3225</v>
      </c>
      <c r="E21" s="21" t="n">
        <f aca="false">E8-E19</f>
        <v>2082305772.68972</v>
      </c>
      <c r="F21" s="21" t="n">
        <f aca="false">F8-F19</f>
        <v>3729189195.47766</v>
      </c>
      <c r="G21" s="21" t="n">
        <f aca="false">G8-G19</f>
        <v>6170267395.17056</v>
      </c>
      <c r="H21" s="21" t="n">
        <f aca="false">H8-H19</f>
        <v>9385466073.12299</v>
      </c>
      <c r="I21" s="21" t="n">
        <f aca="false">I8-I19</f>
        <v>11565689090.1904</v>
      </c>
      <c r="J21" s="21" t="n">
        <f aca="false">J8-J19</f>
        <v>12110908715.3047</v>
      </c>
      <c r="K21" s="21" t="n">
        <f aca="false">K8-K19</f>
        <v>12681405431.911</v>
      </c>
    </row>
    <row r="22" customFormat="false" ht="15" hidden="false" customHeight="false" outlineLevel="0" collapsed="false">
      <c r="A22" s="13" t="s">
        <v>138</v>
      </c>
      <c r="B22" s="31" t="n">
        <f aca="false">MAX(B21,0)*Assumptions!$B$9</f>
        <v>0</v>
      </c>
      <c r="C22" s="31" t="n">
        <f aca="false">MAX(C21,0)*Assumptions!$B$9</f>
        <v>22097314.2500001</v>
      </c>
      <c r="D22" s="31" t="n">
        <f aca="false">MAX(D21,0)*Assumptions!$B$9</f>
        <v>201741342.51095</v>
      </c>
      <c r="E22" s="31" t="n">
        <f aca="false">MAX(E21,0)*Assumptions!$B$9</f>
        <v>458107269.991739</v>
      </c>
      <c r="F22" s="31" t="n">
        <f aca="false">MAX(F21,0)*Assumptions!$B$9</f>
        <v>820421623.005086</v>
      </c>
      <c r="G22" s="31" t="n">
        <f aca="false">MAX(G21,0)*Assumptions!$B$9</f>
        <v>1357458826.93752</v>
      </c>
      <c r="H22" s="31" t="n">
        <f aca="false">MAX(H21,0)*Assumptions!$B$9</f>
        <v>2064802536.08706</v>
      </c>
      <c r="I22" s="31" t="n">
        <f aca="false">MAX(I21,0)*Assumptions!$B$9</f>
        <v>2544451599.84189</v>
      </c>
      <c r="J22" s="31" t="n">
        <f aca="false">MAX(J21,0)*Assumptions!$B$9</f>
        <v>2664399917.36703</v>
      </c>
      <c r="K22" s="31" t="n">
        <f aca="false">MAX(K21,0)*Assumptions!$B$9</f>
        <v>2789909195.02042</v>
      </c>
    </row>
    <row r="23" customFormat="false" ht="15" hidden="false" customHeight="false" outlineLevel="0" collapsed="false">
      <c r="A23" s="20" t="s">
        <v>8</v>
      </c>
      <c r="B23" s="21" t="n">
        <f aca="false">B21-B22</f>
        <v>-849287500</v>
      </c>
      <c r="C23" s="21" t="n">
        <f aca="false">C21-C22</f>
        <v>78345023.2500004</v>
      </c>
      <c r="D23" s="21" t="n">
        <f aca="false">D21-D22</f>
        <v>715264759.81155</v>
      </c>
      <c r="E23" s="21" t="n">
        <f aca="false">E21-E22</f>
        <v>1624198502.69798</v>
      </c>
      <c r="F23" s="21" t="n">
        <f aca="false">F21-F22</f>
        <v>2908767572.47258</v>
      </c>
      <c r="G23" s="21" t="n">
        <f aca="false">G21-G22</f>
        <v>4812808568.23304</v>
      </c>
      <c r="H23" s="21" t="n">
        <f aca="false">H21-H22</f>
        <v>7320663537.03593</v>
      </c>
      <c r="I23" s="21" t="n">
        <f aca="false">I21-I22</f>
        <v>9021237490.34851</v>
      </c>
      <c r="J23" s="21" t="n">
        <f aca="false">J21-J22</f>
        <v>9446508797.93767</v>
      </c>
      <c r="K23" s="21" t="n">
        <f aca="false">K21-K22</f>
        <v>9891496236.89058</v>
      </c>
    </row>
    <row r="24" customFormat="false" ht="15" hidden="false" customHeight="false" outlineLevel="0" collapsed="false">
      <c r="A24" s="13" t="s">
        <v>9</v>
      </c>
      <c r="B24" s="19" t="n">
        <f aca="false">B23/B8</f>
        <v>-0.573954399925661</v>
      </c>
      <c r="C24" s="19" t="n">
        <f aca="false">C23/C8</f>
        <v>0.0305870084692112</v>
      </c>
      <c r="D24" s="19" t="n">
        <f aca="false">D23/D8</f>
        <v>0.20332715078215</v>
      </c>
      <c r="E24" s="19" t="n">
        <f aca="false">E23/E8</f>
        <v>0.336179021858899</v>
      </c>
      <c r="F24" s="19" t="n">
        <f aca="false">F23/F8</f>
        <v>0.438372679874429</v>
      </c>
      <c r="G24" s="19" t="n">
        <f aca="false">G23/G8</f>
        <v>0.5281241229661</v>
      </c>
      <c r="H24" s="19" t="n">
        <f aca="false">H23/H8</f>
        <v>0.5854287653481</v>
      </c>
      <c r="I24" s="19" t="n">
        <f aca="false">I23/I8</f>
        <v>0.60658506856466</v>
      </c>
      <c r="J24" s="19" t="n">
        <f aca="false">J23/J8</f>
        <v>0.604933497789085</v>
      </c>
      <c r="K24" s="19" t="n">
        <f aca="false">K23/K8</f>
        <v>0.603266197768029</v>
      </c>
    </row>
    <row r="26" customFormat="false" ht="15" hidden="false" customHeight="false" outlineLevel="0" collapsed="false">
      <c r="A26" s="2" t="str">
        <f aca="false">"Note: Year 0 one-time startup capex (see Assumptions tab) is invested before Year 1 operations begin and is not repeated in this P&amp;L; it is depreciated straight-line over Years 1–5, then fully depreciated (Rp0 charge) in Years 6–10."</f>
        <v>Note: Year 0 one-time startup capex (see Assumptions tab) is invested before Year 1 operations begin and is not repeated in this P&amp;L; it is depreciated straight-line over Years 1–5, then fully depreciated (Rp0 charge) in Years 6–10.</v>
      </c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mergeCells count="4">
    <mergeCell ref="A1:K1"/>
    <mergeCell ref="A4:K4"/>
    <mergeCell ref="A10:K10"/>
    <mergeCell ref="A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2026-07-21T03:08:32Z</dcterms:created>
  <dc:creator>openpyxl</dc:creator>
  <dc:description/>
  <dc:language>en-US</dc:language>
  <cp:lastModifiedBy/>
  <dcterms:modified xsi:type="dcterms:W3CDTF">2026-07-21T03:08:36Z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